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CULADORA" sheetId="1" state="visible" r:id="rId1"/>
    <sheet xmlns:r="http://schemas.openxmlformats.org/officeDocument/2006/relationships" name="RUTA" sheetId="2" state="visible" r:id="rId2"/>
    <sheet xmlns:r="http://schemas.openxmlformats.org/officeDocument/2006/relationships" name="DICTAMEN" sheetId="3" state="visible" r:id="rId3"/>
    <sheet xmlns:r="http://schemas.openxmlformats.org/officeDocument/2006/relationships" name="INHABIL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Arial"/>
      <b val="1"/>
      <color rgb="FF12224A"/>
      <sz val="15"/>
    </font>
    <font>
      <name val="Arial"/>
      <color rgb="FF5A6472"/>
      <sz val="9.5"/>
    </font>
    <font>
      <name val="Arial"/>
      <b val="1"/>
      <color rgb="FF12224A"/>
      <sz val="11"/>
    </font>
    <font>
      <name val="Arial"/>
      <b val="1"/>
      <color rgb="FF1B2430"/>
      <sz val="12"/>
    </font>
    <font>
      <name val="Arial"/>
      <i val="1"/>
      <color rgb="FF5A6472"/>
      <sz val="9"/>
    </font>
    <font>
      <name val="Arial"/>
      <b val="1"/>
      <color rgb="FFFFFFFF"/>
      <sz val="9.5"/>
    </font>
    <font>
      <name val="Arial"/>
      <b val="1"/>
      <color rgb="FF12224A"/>
      <sz val="10"/>
    </font>
    <font>
      <name val="Arial"/>
      <color rgb="FF5A6472"/>
      <sz val="9"/>
    </font>
    <font>
      <name val="Arial"/>
      <color rgb="FF1B2430"/>
      <sz val="10"/>
    </font>
    <font>
      <name val="Arial"/>
      <color rgb="FF1B2430"/>
      <sz val="9.5"/>
    </font>
    <font>
      <name val="Arial"/>
      <b val="1"/>
      <color rgb="FF12224A"/>
      <sz val="9.5"/>
    </font>
    <font>
      <name val="Arial"/>
      <b val="1"/>
      <color rgb="FF1B2430"/>
      <sz val="9.5"/>
    </font>
    <font>
      <name val="Arial"/>
      <i val="1"/>
      <color rgb="FF5A6472"/>
      <sz val="9.5"/>
    </font>
  </fonts>
  <fills count="5">
    <fill>
      <patternFill/>
    </fill>
    <fill>
      <patternFill patternType="gray125"/>
    </fill>
    <fill>
      <patternFill patternType="solid">
        <fgColor rgb="FFFDF3DC"/>
      </patternFill>
    </fill>
    <fill>
      <patternFill patternType="solid">
        <fgColor rgb="FF12224A"/>
      </patternFill>
    </fill>
    <fill>
      <patternFill patternType="solid">
        <fgColor rgb="FFFBF7F0"/>
      </patternFill>
    </fill>
  </fills>
  <borders count="2">
    <border>
      <left/>
      <right/>
      <top/>
      <bottom/>
      <diagonal/>
    </border>
    <border>
      <left style="thin">
        <color rgb="FFD8DCE3"/>
      </left>
      <right style="thin">
        <color rgb="FFD8DCE3"/>
      </right>
      <top style="thin">
        <color rgb="FFD8DCE3"/>
      </top>
      <bottom style="thin">
        <color rgb="FFD8DCE3"/>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5" fontId="4" fillId="2" borderId="1" applyAlignment="1" pivotButton="0" quotePrefix="0" xfId="0">
      <alignment horizontal="center"/>
    </xf>
    <xf numFmtId="0" fontId="5" fillId="0" borderId="0" pivotButton="0" quotePrefix="0" xfId="0"/>
    <xf numFmtId="0" fontId="6" fillId="3" borderId="1" applyAlignment="1" pivotButton="0" quotePrefix="0" xfId="0">
      <alignment horizontal="center" vertical="center" wrapText="1"/>
    </xf>
    <xf numFmtId="0" fontId="7" fillId="0" borderId="0" pivotButton="0" quotePrefix="0" xfId="0"/>
    <xf numFmtId="0" fontId="2" fillId="0" borderId="0" applyAlignment="1" pivotButton="0" quotePrefix="0" xfId="0">
      <alignment horizontal="center"/>
    </xf>
    <xf numFmtId="0" fontId="8" fillId="0" borderId="0" applyAlignment="1" pivotButton="0" quotePrefix="0" xfId="0">
      <alignment vertical="center" wrapText="1"/>
    </xf>
    <xf numFmtId="0" fontId="9" fillId="0" borderId="0" pivotButton="0" quotePrefix="0" xfId="0"/>
    <xf numFmtId="165" fontId="3" fillId="4" borderId="1" applyAlignment="1" pivotButton="0" quotePrefix="0" xfId="0">
      <alignment horizontal="center"/>
    </xf>
    <xf numFmtId="165" fontId="0" fillId="2" borderId="1" applyAlignment="1" pivotButton="0" quotePrefix="0" xfId="0">
      <alignment horizontal="center"/>
    </xf>
    <xf numFmtId="0" fontId="10" fillId="0" borderId="0" applyAlignment="1" pivotButton="0" quotePrefix="0" xfId="0">
      <alignment vertical="top" wrapText="1"/>
    </xf>
    <xf numFmtId="0" fontId="11" fillId="4" borderId="1" applyAlignment="1" pivotButton="0" quotePrefix="0" xfId="0">
      <alignment vertical="center" wrapText="1"/>
    </xf>
    <xf numFmtId="0" fontId="10" fillId="4" borderId="1" applyAlignment="1" pivotButton="0" quotePrefix="0" xfId="0">
      <alignment vertical="center" wrapText="1"/>
    </xf>
    <xf numFmtId="0" fontId="11" fillId="0" borderId="1" applyAlignment="1" pivotButton="0" quotePrefix="0" xfId="0">
      <alignment vertical="center" wrapText="1"/>
    </xf>
    <xf numFmtId="0" fontId="10" fillId="0" borderId="1" applyAlignment="1" pivotButton="0" quotePrefix="0" xfId="0">
      <alignment vertical="center" wrapText="1"/>
    </xf>
    <xf numFmtId="0" fontId="11" fillId="2" borderId="1" applyAlignment="1" pivotButton="0" quotePrefix="0" xfId="0">
      <alignment vertical="center" wrapText="1"/>
    </xf>
    <xf numFmtId="0" fontId="10" fillId="2" borderId="1" applyAlignment="1" pivotButton="0" quotePrefix="0" xfId="0">
      <alignment vertical="center" wrapText="1"/>
    </xf>
    <xf numFmtId="0" fontId="0" fillId="0" borderId="1" applyAlignment="1" pivotButton="0" quotePrefix="0" xfId="0">
      <alignment horizontal="center"/>
    </xf>
    <xf numFmtId="0" fontId="0" fillId="0" borderId="1" pivotButton="0" quotePrefix="0" xfId="0"/>
    <xf numFmtId="0" fontId="7" fillId="4" borderId="1" applyAlignment="1" pivotButton="0" quotePrefix="0" xfId="0">
      <alignment vertical="center" wrapText="1"/>
    </xf>
    <xf numFmtId="0" fontId="12" fillId="4" borderId="1" applyAlignment="1" pivotButton="0" quotePrefix="0" xfId="0">
      <alignment vertical="center" wrapText="1"/>
    </xf>
    <xf numFmtId="0" fontId="0" fillId="4" borderId="1" applyAlignment="1" pivotButton="0" quotePrefix="0" xfId="0">
      <alignment horizontal="center" vertical="center"/>
    </xf>
    <xf numFmtId="0" fontId="0" fillId="4" borderId="1" applyAlignment="1" pivotButton="0" quotePrefix="0" xfId="0">
      <alignment vertical="center" wrapText="1"/>
    </xf>
    <xf numFmtId="0" fontId="7" fillId="0" borderId="1" applyAlignment="1" pivotButton="0" quotePrefix="0" xfId="0">
      <alignment vertical="center" wrapText="1"/>
    </xf>
    <xf numFmtId="0" fontId="12" fillId="0" borderId="1"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8" fillId="0" borderId="1" applyAlignment="1" pivotButton="0" quotePrefix="0" xfId="0">
      <alignment vertical="center" wrapText="1"/>
    </xf>
    <xf numFmtId="0" fontId="12" fillId="2" borderId="1" applyAlignment="1" pivotButton="0" quotePrefix="0" xfId="0">
      <alignment vertical="center" wrapText="1"/>
    </xf>
    <xf numFmtId="0" fontId="8" fillId="2" borderId="1" applyAlignment="1" pivotButton="0" quotePrefix="0" xfId="0">
      <alignment vertical="center" wrapText="1"/>
    </xf>
    <xf numFmtId="0" fontId="7" fillId="0" borderId="0" applyAlignment="1" pivotButton="0" quotePrefix="0" xfId="0">
      <alignment vertical="top" wrapText="1"/>
    </xf>
    <xf numFmtId="0" fontId="6" fillId="3" borderId="1" pivotButton="0" quotePrefix="0" xfId="0"/>
    <xf numFmtId="165" fontId="10" fillId="0" borderId="1" pivotButton="0" quotePrefix="0" xfId="0"/>
    <xf numFmtId="0" fontId="2" fillId="0" borderId="1" pivotButton="0" quotePrefix="0" xfId="0"/>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3" customWidth="1" min="1" max="1"/>
    <col width="46" customWidth="1" min="2" max="2"/>
    <col width="16" customWidth="1" min="3" max="3"/>
    <col width="16" customWidth="1" min="4" max="4"/>
    <col width="52" customWidth="1" min="5" max="5"/>
  </cols>
  <sheetData>
    <row r="1" ht="26" customHeight="1">
      <c r="A1" s="1" t="inlineStr">
        <is>
          <t>CALCULADORA DE PLAZOS · requerimientos</t>
        </is>
      </c>
    </row>
    <row r="2" ht="16" customHeight="1">
      <c r="A2" s="2" t="inlineStr">
        <is>
          <t>Escriba la fecha de notificación en la celda amarilla. Todo lo demás se calcula en días HÁBILES.</t>
        </is>
      </c>
    </row>
    <row r="4" ht="24" customHeight="1">
      <c r="B4" s="3" t="inlineStr">
        <is>
          <t>Fecha en que se le NOTIFICÓ el requerimiento</t>
        </is>
      </c>
      <c r="C4" s="4" t="n">
        <v>46301</v>
      </c>
      <c r="D4" s="5" t="inlineStr">
        <is>
          <t>← escriba aquí</t>
        </is>
      </c>
    </row>
    <row r="6" ht="30" customHeight="1">
      <c r="A6" s="6" t="inlineStr"/>
      <c r="B6" s="6" t="inlineStr">
        <is>
          <t>Qué vence</t>
        </is>
      </c>
      <c r="C6" s="6" t="inlineStr">
        <is>
          <t>Fecha</t>
        </is>
      </c>
      <c r="D6" s="6" t="inlineStr">
        <is>
          <t>Días</t>
        </is>
      </c>
      <c r="E6" s="6" t="inlineStr">
        <is>
          <t>Fundamento y advertencia</t>
        </is>
      </c>
    </row>
    <row r="7" ht="30" customHeight="1">
      <c r="B7" s="7" t="inlineStr">
        <is>
          <t>RUTA R 8 · entrega de lo requerido</t>
        </is>
      </c>
      <c r="D7" s="8" t="inlineStr"/>
      <c r="E7" s="9" t="inlineStr"/>
    </row>
    <row r="8" ht="30" customHeight="1">
      <c r="B8" s="10" t="inlineStr">
        <is>
          <t>Último día para ENTREGAR lo requerido</t>
        </is>
      </c>
      <c r="C8" s="11">
        <f>WORKDAY(C4,10,INHABILES!$A$2:$A$33)</f>
        <v/>
      </c>
      <c r="D8" s="8" t="inlineStr">
        <is>
          <t>10 hábiles</t>
        </is>
      </c>
      <c r="E8" s="9" t="inlineStr">
        <is>
          <t>R 8, 1er párrafo. Corren a partir del DÍA SIGUIENTE a recibir el requerimiento</t>
        </is>
      </c>
    </row>
    <row r="9" ht="30" customHeight="1">
      <c r="B9" s="10" t="inlineStr">
        <is>
          <t>Último día para PEDIR la prórroga</t>
        </is>
      </c>
      <c r="C9" s="11">
        <f>WORKDAY(C4,10,INHABILES!$A$2:$A$33)</f>
        <v/>
      </c>
      <c r="D9" s="8" t="inlineStr">
        <is>
          <t>dentro de los 10</t>
        </is>
      </c>
      <c r="E9" s="9" t="inlineStr">
        <is>
          <t>R 8, 2º párrafo. La solicitud debe hacerse DENTRO del plazo original. Pedida después, no existe</t>
        </is>
      </c>
    </row>
    <row r="10" ht="30" customHeight="1">
      <c r="B10" s="10" t="inlineStr">
        <is>
          <t>Si le conceden la prórroga, nuevo vencimiento</t>
        </is>
      </c>
      <c r="C10" s="11">
        <f>WORKDAY(C8,5,INHABILES!$A$2:$A$33)</f>
        <v/>
      </c>
      <c r="D10" s="8" t="inlineStr">
        <is>
          <t>+5 hábiles</t>
        </is>
      </c>
      <c r="E10" s="9" t="inlineStr">
        <is>
          <t>R 8, 2º párrafo. Corre a partir del día siguiente al vencimiento del plazo original</t>
        </is>
      </c>
    </row>
    <row r="11" ht="30" customHeight="1">
      <c r="B11" s="7" t="inlineStr"/>
      <c r="D11" s="8" t="inlineStr"/>
      <c r="E11" s="9" t="inlineStr"/>
    </row>
    <row r="12" ht="30" customHeight="1">
      <c r="B12" s="7" t="inlineStr">
        <is>
          <t>RUTA R 9 · oficio con observaciones</t>
        </is>
      </c>
      <c r="D12" s="8" t="inlineStr"/>
      <c r="E12" s="9" t="inlineStr"/>
    </row>
    <row r="13" ht="30" customHeight="1">
      <c r="B13" s="10" t="inlineStr">
        <is>
          <t>Si recibe oficio circunstanciado, fecha en que lo recibió</t>
        </is>
      </c>
      <c r="C13" s="12" t="n"/>
      <c r="D13" s="8" t="inlineStr">
        <is>
          <t>escriba en C13</t>
        </is>
      </c>
      <c r="E13" s="9" t="inlineStr">
        <is>
          <t>R 9, 1er párrafo. El SAT lo emite en un plazo que no excede de 10 días hábiles</t>
        </is>
      </c>
    </row>
    <row r="14" ht="30" customHeight="1">
      <c r="B14" s="10" t="inlineStr">
        <is>
          <t>Último día para DESVIRTUAR las observaciones</t>
        </is>
      </c>
      <c r="C14" s="11">
        <f>IF(C13="","",WORKDAY(C13,5,INHABILES!$A$2:$A$33))</f>
        <v/>
      </c>
      <c r="D14" s="8" t="inlineStr">
        <is>
          <t>5 hábiles</t>
        </is>
      </c>
      <c r="E14" s="9" t="inlineStr">
        <is>
          <t>R 9. No hay prórroga prevista en el texto. El silencio equivale a consentir los hechos</t>
        </is>
      </c>
    </row>
    <row r="15" ht="30" customHeight="1">
      <c r="B15" s="7" t="inlineStr"/>
      <c r="D15" s="8" t="inlineStr"/>
      <c r="E15" s="9" t="inlineStr"/>
    </row>
    <row r="16" ht="30" customHeight="1">
      <c r="B16" s="7" t="inlineStr">
        <is>
          <t>RUTA RCG 9 · requerimiento sobre su alta y registro</t>
        </is>
      </c>
      <c r="D16" s="8" t="inlineStr"/>
      <c r="E16" s="9" t="inlineStr"/>
    </row>
    <row r="17" ht="30" customHeight="1">
      <c r="B17" s="10" t="inlineStr">
        <is>
          <t>Último día para atender</t>
        </is>
      </c>
      <c r="C17" s="11">
        <f>WORKDAY(C4,10,INHABILES!$A$2:$A$33)</f>
        <v/>
      </c>
      <c r="D17" s="8" t="inlineStr">
        <is>
          <t>10 hábiles</t>
        </is>
      </c>
      <c r="E17" s="9" t="inlineStr">
        <is>
          <t>RCG 9. Mismo 10+5, pero aquí la prórroga NO exige pedirse dentro del plazo original</t>
        </is>
      </c>
    </row>
    <row r="19">
      <c r="B19" s="3" t="inlineStr">
        <is>
          <t>DOS ADVERTENCIAS</t>
        </is>
      </c>
    </row>
    <row r="20" ht="46" customHeight="1">
      <c r="B20" s="13" t="inlineStr">
        <is>
          <t>Esta calculadora descuenta sábados, domingos y los días inhábiles que enumera el RCG 36 Bis. NO descuenta el periodo general de vacaciones ni la suspensión de labores que el SAT publique en la Resolución Miscelánea Fiscal, porque esos días cambian cada año. Si su plazo cae cerca de uno de esos periodos, verifíquelo en la Miscelánea vigente.</t>
        </is>
      </c>
    </row>
    <row r="21" ht="46" customHeight="1">
      <c r="B21" s="13" t="inlineStr">
        <is>
          <t>El RCG 36 Bis acota su propio ámbito a «las actuaciones y diligencias administrativas que se lleven a cabo ante el SAT». Para plazos que no sean actuaciones ante el SAT, el cómputo puede ser otro. Verifíquelo con asesoría legal.</t>
        </is>
      </c>
    </row>
  </sheetData>
  <mergeCells count="2">
    <mergeCell ref="B21:E21"/>
    <mergeCell ref="B20:E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80" customWidth="1" min="1" max="1"/>
    <col width="16" customWidth="1" min="2" max="2"/>
    <col width="22" customWidth="1" min="3" max="3"/>
    <col width="16" customWidth="1" min="4" max="4"/>
  </cols>
  <sheetData>
    <row r="1" ht="26" customHeight="1">
      <c r="A1" s="1" t="inlineStr">
        <is>
          <t>¿EN QUÉ RUTA ESTOY?</t>
        </is>
      </c>
    </row>
    <row r="2" ht="16" customHeight="1">
      <c r="A2" s="2" t="inlineStr">
        <is>
          <t>La pregunta no es cuánto es la multa. Es qué artículo me aplica, porque las consecuencias son distintas.</t>
        </is>
      </c>
    </row>
    <row r="4" ht="30" customHeight="1">
      <c r="A4" s="6" t="inlineStr"/>
      <c r="B4" s="6" t="inlineStr">
        <is>
          <t>Ruta R 8</t>
        </is>
      </c>
      <c r="C4" s="6" t="inlineStr">
        <is>
          <t>Ruta R 9</t>
        </is>
      </c>
    </row>
    <row r="5" ht="36" customHeight="1">
      <c r="A5" s="14" t="inlineStr">
        <is>
          <t>Supuesto</t>
        </is>
      </c>
      <c r="B5" s="15" t="inlineStr">
        <is>
          <t>No atendió el requerimiento, O lo atendió omitiendo cumplir en los términos requeridos</t>
        </is>
      </c>
      <c r="C5" s="15" t="inlineStr">
        <is>
          <t>Sí entregó, y de la REVISIÓN de lo entregado resultan hechos u omisiones</t>
        </is>
      </c>
    </row>
    <row r="6" ht="36" customHeight="1">
      <c r="A6" s="16" t="inlineStr">
        <is>
          <t>Su plazo</t>
        </is>
      </c>
      <c r="B6" s="17" t="inlineStr">
        <is>
          <t>10 días hábiles, desde el día siguiente a recibir el requerimiento</t>
        </is>
      </c>
      <c r="C6" s="17" t="inlineStr">
        <is>
          <t>5 días hábiles para desvirtuar, otorgados en el propio oficio</t>
        </is>
      </c>
    </row>
    <row r="7" ht="36" customHeight="1">
      <c r="A7" s="14" t="inlineStr">
        <is>
          <t>¿Hábiles o naturales?</t>
        </is>
      </c>
      <c r="B7" s="15" t="inlineStr">
        <is>
          <t>Hábiles. Expreso en el texto</t>
        </is>
      </c>
      <c r="C7" s="15" t="inlineStr">
        <is>
          <t>Hábiles. Expreso en el texto</t>
        </is>
      </c>
    </row>
    <row r="8" ht="36" customHeight="1">
      <c r="A8" s="16" t="inlineStr">
        <is>
          <t>Prórroga</t>
        </is>
      </c>
      <c r="B8" s="17" t="inlineStr">
        <is>
          <t>Hasta 5 días hábiles, a solicitud presentada DENTRO de los 10 originales</t>
        </is>
      </c>
      <c r="C8" s="17" t="inlineStr">
        <is>
          <t>No la prevé el texto</t>
        </is>
      </c>
    </row>
    <row r="9" ht="36" customHeight="1">
      <c r="A9" s="14" t="inlineStr">
        <is>
          <t>Qué hace el SAT</t>
        </is>
      </c>
      <c r="B9" s="15" t="inlineStr">
        <is>
          <t>Impone la sanción en un plazo que no excede de 10 días hábiles, SIN procedimiento sancionador de la LFPA</t>
        </is>
      </c>
      <c r="C9" s="15" t="inlineStr">
        <is>
          <t>Emite oficio circunstanciado en ≤10 días hábiles. Después, resolución en ≤20 días hábiles</t>
        </is>
      </c>
    </row>
    <row r="10" ht="36" customHeight="1">
      <c r="A10" s="16" t="inlineStr">
        <is>
          <t>Si usted no responde</t>
        </is>
      </c>
      <c r="B10" s="17" t="inlineStr">
        <is>
          <t>Sanción administrativa directa</t>
        </is>
      </c>
      <c r="C10" s="17" t="inlineStr">
        <is>
          <t>Los hechos SE TIENEN POR CONSENTIDOS y viene la resolución sancionatoria</t>
        </is>
      </c>
    </row>
    <row r="11" ht="36" customHeight="1">
      <c r="A11" s="14" t="inlineStr">
        <is>
          <t>Si usted sí responde bien</t>
        </is>
      </c>
      <c r="B11" s="15" t="inlineStr">
        <is>
          <t>No se actualiza la infracción del L 53 fr. I</t>
        </is>
      </c>
      <c r="C11" s="15" t="inlineStr">
        <is>
          <t>Resolución que tiene por concluida la revisión, en ≤20 días hábiles</t>
        </is>
      </c>
    </row>
    <row r="12" ht="36" customHeight="1">
      <c r="A12" s="18" t="inlineStr">
        <is>
          <t>Lo contraintuitivo</t>
        </is>
      </c>
      <c r="B12" s="19" t="inlineStr">
        <is>
          <t>No contestar y contestar incompleto se castigan IGUAL</t>
        </is>
      </c>
      <c r="C12" s="19" t="inlineStr">
        <is>
          <t>El silencio en el plazo probatorio equivale a confesión</t>
        </is>
      </c>
    </row>
    <row r="14">
      <c r="A14" s="3" t="inlineStr">
        <is>
          <t>LISTA DE CONTROL · lo que se hace el día que llega un requerimiento</t>
        </is>
      </c>
    </row>
    <row r="15" ht="24" customHeight="1">
      <c r="A15" s="6" t="inlineStr">
        <is>
          <t>Paso</t>
        </is>
      </c>
      <c r="B15" s="6" t="inlineStr">
        <is>
          <t>Estado</t>
        </is>
      </c>
      <c r="C15" s="6" t="inlineStr">
        <is>
          <t>Quién</t>
        </is>
      </c>
      <c r="D15" s="6" t="inlineStr">
        <is>
          <t>Fecha</t>
        </is>
      </c>
    </row>
    <row r="16" ht="26" customHeight="1">
      <c r="A16" s="17" t="inlineStr">
        <is>
          <t>1.  Registrar la fecha exacta de notificación y guardar el acuse. Todo el cómputo depende de ese dato.</t>
        </is>
      </c>
      <c r="B16" s="20" t="n"/>
      <c r="C16" s="21" t="n"/>
      <c r="D16" s="21" t="n"/>
    </row>
    <row r="17" ht="26" customHeight="1">
      <c r="A17" s="17" t="inlineStr">
        <is>
          <t>2.  Correr la calculadora y anotar las tres fechas en el calendario de quien responde.</t>
        </is>
      </c>
      <c r="B17" s="20" t="n"/>
      <c r="C17" s="21" t="n"/>
      <c r="D17" s="21" t="n"/>
    </row>
    <row r="18" ht="26" customHeight="1">
      <c r="A18" s="17" t="inlineStr">
        <is>
          <t>3.  Leer el requerimiento renglón por renglón y hacer la lista de lo que pide, en los términos en que lo pide.</t>
        </is>
      </c>
      <c r="B18" s="20" t="n"/>
      <c r="C18" s="21" t="n"/>
      <c r="D18" s="21" t="n"/>
    </row>
    <row r="19" ht="26" customHeight="1">
      <c r="A19" s="17" t="inlineStr">
        <is>
          <t>4.  Marcar qué hay, qué falta y qué no existe. Lo que no existe no se improvisa: se dice.</t>
        </is>
      </c>
      <c r="B19" s="20" t="n"/>
      <c r="C19" s="21" t="n"/>
      <c r="D19" s="21" t="n"/>
    </row>
    <row r="20" ht="26" customHeight="1">
      <c r="A20" s="17" t="inlineStr">
        <is>
          <t>5.  Si falta algo, PEDIR LA PRÓRROGA dentro de los diez días. No esperar a tenerlo todo para decidir.</t>
        </is>
      </c>
      <c r="B20" s="20" t="n"/>
      <c r="C20" s="21" t="n"/>
      <c r="D20" s="21" t="n"/>
    </row>
    <row r="21" ht="26" customHeight="1">
      <c r="A21" s="17" t="inlineStr">
        <is>
          <t>6.  Entregar en copia simple, salvo que pidan certificación, y en sobre cerrado o con las características de seguridad del requerimiento (RCG 33).</t>
        </is>
      </c>
      <c r="B21" s="20" t="n"/>
      <c r="C21" s="21" t="n"/>
      <c r="D21" s="21" t="n"/>
    </row>
    <row r="22" ht="26" customHeight="1">
      <c r="A22" s="17" t="inlineStr">
        <is>
          <t>7.  Guardar acuse de la entrega y copia íntegra de lo entregado.</t>
        </is>
      </c>
      <c r="B22" s="20" t="n"/>
      <c r="C22" s="21" t="n"/>
      <c r="D22" s="21" t="n"/>
    </row>
    <row r="23" ht="26" customHeight="1">
      <c r="A23" s="17" t="inlineStr">
        <is>
          <t>8.  Si después llega oficio circunstanciado, arrancar el reloj de los cinco días hábiles ese mismo día.</t>
        </is>
      </c>
      <c r="B23" s="20" t="n"/>
      <c r="C23" s="21" t="n"/>
      <c r="D23" s="21" t="n"/>
    </row>
  </sheetData>
  <dataValidations count="1">
    <dataValidation sqref="B16 B17 B18 B19 B20 B21 B22 B23" showDropDown="0" showInputMessage="0" showErrorMessage="0" allowBlank="1" type="list">
      <formula1>"Pendiente,Hecho,No aplica"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5" customWidth="1" min="1" max="1"/>
    <col width="26" customWidth="1" min="2" max="2"/>
    <col width="62" customWidth="1" min="3" max="3"/>
    <col width="13" customWidth="1" min="4" max="4"/>
    <col width="40" customWidth="1" min="5" max="5"/>
  </cols>
  <sheetData>
    <row r="1" ht="26" customHeight="1">
      <c r="A1" s="1" t="inlineStr">
        <is>
          <t>CÓMO SE VA A VER MI DICTAMEN</t>
        </is>
      </c>
    </row>
    <row r="2" ht="16" customHeight="1">
      <c r="A2" s="2" t="inlineStr">
        <is>
          <t>Las siete secciones obligatorias del RCG 47. Úselo para saber qué le van a pedir antes de que se lo pidan.</t>
        </is>
      </c>
    </row>
    <row r="4" ht="32" customHeight="1">
      <c r="A4" s="6" t="inlineStr">
        <is>
          <t>#</t>
        </is>
      </c>
      <c r="B4" s="6" t="inlineStr">
        <is>
          <t>Sección</t>
        </is>
      </c>
      <c r="C4" s="6" t="inlineStr">
        <is>
          <t>Lo que el auditor tiene que poder escribir</t>
        </is>
      </c>
      <c r="D4" s="6" t="inlineStr">
        <is>
          <t>¿Lo tengo?</t>
        </is>
      </c>
      <c r="E4" s="6" t="inlineStr">
        <is>
          <t>Qué me falta</t>
        </is>
      </c>
    </row>
    <row r="5" ht="42" customHeight="1">
      <c r="A5" s="22" t="inlineStr">
        <is>
          <t>I</t>
        </is>
      </c>
      <c r="B5" s="23" t="inlineStr">
        <is>
          <t>Presentación</t>
        </is>
      </c>
      <c r="C5" s="15" t="inlineStr">
        <is>
          <t>Datos del auditor y declaración, BAJO PROTESTA DE DECIR VERDAD, de que cumple los requisitos y conocimientos. Más sus conclusiones sobre el conocimiento del auditado y los Riesgos que identificó</t>
        </is>
      </c>
      <c r="D5" s="24" t="n"/>
      <c r="E5" s="25" t="n"/>
    </row>
    <row r="6" ht="42" customHeight="1">
      <c r="A6" s="26" t="inlineStr">
        <is>
          <t>II</t>
        </is>
      </c>
      <c r="B6" s="27" t="inlineStr">
        <is>
          <t>Objeto</t>
        </is>
      </c>
      <c r="C6" s="17" t="inlineStr">
        <is>
          <t>Todas las obligaciones evaluadas según la Actividad Vulnerable que usted realiza, tipo de actos u operaciones, periodo revisado y, en su caso, sucursales</t>
        </is>
      </c>
      <c r="D6" s="28" t="n"/>
      <c r="E6" s="29" t="n"/>
    </row>
    <row r="7" ht="42" customHeight="1">
      <c r="A7" s="22" t="inlineStr">
        <is>
          <t>III</t>
        </is>
      </c>
      <c r="B7" s="23" t="inlineStr">
        <is>
          <t>Volumen de información y muestreo</t>
        </is>
      </c>
      <c r="C7" s="15" t="inlineStr">
        <is>
          <t>El volumen de operaciones del artículo 17, los criterios de selección de la muestra, el NÚMERO de operaciones revisadas y el PORCENTAJE que representan del total</t>
        </is>
      </c>
      <c r="D7" s="24" t="n"/>
      <c r="E7" s="25" t="n"/>
    </row>
    <row r="8" ht="42" customHeight="1">
      <c r="A8" s="26" t="inlineStr">
        <is>
          <t>IV</t>
        </is>
      </c>
      <c r="B8" s="27" t="inlineStr">
        <is>
          <t>Proceso de auditoría</t>
        </is>
      </c>
      <c r="C8" s="17" t="inlineStr">
        <is>
          <t>Detalle de la revisión, metodología utilizada y asuntos relevantes durante el proceso</t>
        </is>
      </c>
      <c r="D8" s="28" t="n"/>
      <c r="E8" s="29" t="n"/>
    </row>
    <row r="9" ht="42" customHeight="1">
      <c r="A9" s="22" t="inlineStr">
        <is>
          <t>V</t>
        </is>
      </c>
      <c r="B9" s="23" t="inlineStr">
        <is>
          <t>Hallazgos</t>
        </is>
      </c>
      <c r="C9" s="15" t="inlineStr">
        <is>
          <t>Descripción detallada de aspectos destacables, deficiencias, omisiones y áreas de oportunidad</t>
        </is>
      </c>
      <c r="D9" s="24" t="n"/>
      <c r="E9" s="25" t="n"/>
    </row>
    <row r="10" ht="42" customHeight="1">
      <c r="A10" s="26" t="inlineStr">
        <is>
          <t>VI</t>
        </is>
      </c>
      <c r="B10" s="27" t="inlineStr">
        <is>
          <t>Resultados de cumplimiento</t>
        </is>
      </c>
      <c r="C10" s="17" t="inlineStr">
        <is>
          <t>Evaluación INDIVIDUALIZADA del cumplimiento de CADA obligación, y su EFICACIA DEMOSTRABLE</t>
        </is>
      </c>
      <c r="D10" s="28" t="n"/>
      <c r="E10" s="29" t="n"/>
    </row>
    <row r="11" ht="42" customHeight="1">
      <c r="A11" s="22" t="inlineStr">
        <is>
          <t>VII</t>
        </is>
      </c>
      <c r="B11" s="23" t="inlineStr">
        <is>
          <t>Acciones correctivas y recomendaciones</t>
        </is>
      </c>
      <c r="C11" s="15" t="inlineStr">
        <is>
          <t>Propuestas concretas para subsanar los hallazgos, con plazos, personas responsables y la PROYECCIÓN ECONÓMICA de las multas si no se atienden (RCG 49)</t>
        </is>
      </c>
      <c r="D11" s="24" t="n"/>
      <c r="E11" s="25" t="n"/>
    </row>
    <row r="13">
      <c r="A13" s="3" t="inlineStr">
        <is>
          <t>LAS CINCO CALIFICACIONES · RCG 48</t>
        </is>
      </c>
    </row>
    <row r="14" ht="26" customHeight="1">
      <c r="A14" s="6" t="inlineStr"/>
      <c r="B14" s="6" t="inlineStr">
        <is>
          <t>Resultado</t>
        </is>
      </c>
      <c r="C14" s="6" t="inlineStr">
        <is>
          <t>Qué significa</t>
        </is>
      </c>
      <c r="D14" s="6" t="inlineStr">
        <is>
          <t>Qué obliga al auditor</t>
        </is>
      </c>
      <c r="E14" s="6" t="inlineStr"/>
    </row>
    <row r="15" ht="28" customHeight="1">
      <c r="B15" s="27" t="inlineStr">
        <is>
          <t>Cumple</t>
        </is>
      </c>
      <c r="C15" s="17" t="inlineStr">
        <is>
          <t>Eficacia demostrada y no se requieren mejoras</t>
        </is>
      </c>
      <c r="D15" s="30" t="inlineStr">
        <is>
          <t>Nada</t>
        </is>
      </c>
    </row>
    <row r="16" ht="28" customHeight="1">
      <c r="B16" s="27" t="inlineStr">
        <is>
          <t>Cumple mayoritariamente</t>
        </is>
      </c>
      <c r="C16" s="17" t="inlineStr">
        <is>
          <t>La eficacia no puede demostrarse completamente</t>
        </is>
      </c>
      <c r="D16" s="30" t="inlineStr">
        <is>
          <t>Al menos una recomendación de mejora</t>
        </is>
      </c>
    </row>
    <row r="17" ht="28" customHeight="1">
      <c r="B17" s="31" t="inlineStr">
        <is>
          <t>Cumple parcialmente</t>
        </is>
      </c>
      <c r="C17" s="19" t="inlineStr">
        <is>
          <t>La eficacia no puede demostrarse POR NO CONTAR CON EVIDENCIA OBJETIVA</t>
        </is>
      </c>
      <c r="D17" s="32" t="inlineStr">
        <is>
          <t>Al menos un hallazgo</t>
        </is>
      </c>
    </row>
    <row r="18" ht="28" customHeight="1">
      <c r="B18" s="27" t="inlineStr">
        <is>
          <t>No cumple</t>
        </is>
      </c>
      <c r="C18" s="17" t="inlineStr">
        <is>
          <t>No cubre los elementos necesarios, o actualiza una sanción</t>
        </is>
      </c>
      <c r="D18" s="30" t="inlineStr">
        <is>
          <t>Al menos un hallazgo</t>
        </is>
      </c>
    </row>
    <row r="19" ht="28" customHeight="1">
      <c r="B19" s="27" t="inlineStr">
        <is>
          <t>No aplica</t>
        </is>
      </c>
      <c r="C19" s="17" t="inlineStr">
        <is>
          <t>La obligación no le es exigible</t>
        </is>
      </c>
      <c r="D19" s="30" t="inlineStr">
        <is>
          <t>Verificar que la exclusión no esconda un incumplimiento</t>
        </is>
      </c>
    </row>
    <row r="21" ht="34" customHeight="1">
      <c r="B21" s="33" t="inlineStr">
        <is>
          <t>La frontera entre «mayoritariamente» y «parcialmente» es una sola cosa: la evidencia objetiva. Sin ella, el techo es «cumple parcialmente» con hallazgo forzoso, aunque usted sí esté cumpliendo.</t>
        </is>
      </c>
    </row>
    <row r="23" ht="46" customHeight="1">
      <c r="B23" s="13" t="inlineStr">
        <is>
          <t>Y dos cosas que casi nadie dice: el dictamen NO se presenta al SAT —el auditor se lo entrega a usted, y usted lo conserva cinco años con el soporte y lo exhibe a requerimiento (RCG 50, RCG 51, R 12 Bis)—; y el RCG 50, tercer párrafo, le permite subsanar de manera espontánea lo que el dictamen detecte, antes del inicio de la revisión del periodo siguiente.</t>
        </is>
      </c>
    </row>
  </sheetData>
  <mergeCells count="2">
    <mergeCell ref="B23:E23"/>
    <mergeCell ref="B21:E21"/>
  </mergeCells>
  <dataValidations count="1">
    <dataValidation sqref="D5 D6 D7 D8 D9 D10 D11" showDropDown="0" showInputMessage="0" showErrorMessage="0" allowBlank="1" type="list">
      <formula1>"Sí,No,Parcial"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14" customWidth="1" min="1" max="1"/>
    <col width="66" customWidth="1" min="2" max="2"/>
  </cols>
  <sheetData>
    <row r="1">
      <c r="A1" s="34" t="inlineStr">
        <is>
          <t>Fecha</t>
        </is>
      </c>
      <c r="B1" s="34" t="inlineStr">
        <is>
          <t>Por qué es inhábil · RCG 36 Bis</t>
        </is>
      </c>
    </row>
    <row r="2">
      <c r="A2" s="35" t="n">
        <v>46023</v>
      </c>
      <c r="B2" s="36" t="inlineStr">
        <is>
          <t>1 de enero</t>
        </is>
      </c>
    </row>
    <row r="3">
      <c r="A3" s="35" t="n">
        <v>46055</v>
      </c>
      <c r="B3" s="36" t="inlineStr">
        <is>
          <t>Primer lunes de febrero · conmemoración del 5 de febrero</t>
        </is>
      </c>
    </row>
    <row r="4">
      <c r="A4" s="35" t="n">
        <v>46097</v>
      </c>
      <c r="B4" s="36" t="inlineStr">
        <is>
          <t>Tercer lunes de marzo · conmemoración del 21 de marzo</t>
        </is>
      </c>
    </row>
    <row r="5">
      <c r="A5" s="35" t="n">
        <v>46143</v>
      </c>
      <c r="B5" s="36" t="inlineStr">
        <is>
          <t>1 de mayo</t>
        </is>
      </c>
    </row>
    <row r="6">
      <c r="A6" s="35" t="n">
        <v>46147</v>
      </c>
      <c r="B6" s="36" t="inlineStr">
        <is>
          <t>5 de mayo</t>
        </is>
      </c>
    </row>
    <row r="7">
      <c r="A7" s="35" t="n">
        <v>46281</v>
      </c>
      <c r="B7" s="36" t="inlineStr">
        <is>
          <t>16 de septiembre</t>
        </is>
      </c>
    </row>
    <row r="8">
      <c r="A8" s="35" t="n">
        <v>46342</v>
      </c>
      <c r="B8" s="36" t="inlineStr">
        <is>
          <t>Tercer lunes de noviembre · conmemoración del 20 de noviembre</t>
        </is>
      </c>
    </row>
    <row r="9">
      <c r="A9" s="35" t="n">
        <v>46381</v>
      </c>
      <c r="B9" s="36" t="inlineStr">
        <is>
          <t>25 de diciembre</t>
        </is>
      </c>
    </row>
    <row r="10">
      <c r="A10" s="35" t="n">
        <v>46388</v>
      </c>
      <c r="B10" s="36" t="inlineStr">
        <is>
          <t>1 de enero</t>
        </is>
      </c>
    </row>
    <row r="11">
      <c r="A11" s="35" t="n">
        <v>46419</v>
      </c>
      <c r="B11" s="36" t="inlineStr">
        <is>
          <t>Primer lunes de febrero · conmemoración del 5 de febrero</t>
        </is>
      </c>
    </row>
    <row r="12">
      <c r="A12" s="35" t="n">
        <v>46461</v>
      </c>
      <c r="B12" s="36" t="inlineStr">
        <is>
          <t>Tercer lunes de marzo · conmemoración del 21 de marzo</t>
        </is>
      </c>
    </row>
    <row r="13">
      <c r="A13" s="35" t="n">
        <v>46508</v>
      </c>
      <c r="B13" s="36" t="inlineStr">
        <is>
          <t>1 de mayo</t>
        </is>
      </c>
    </row>
    <row r="14">
      <c r="A14" s="35" t="n">
        <v>46512</v>
      </c>
      <c r="B14" s="36" t="inlineStr">
        <is>
          <t>5 de mayo</t>
        </is>
      </c>
    </row>
    <row r="15">
      <c r="A15" s="35" t="n">
        <v>46646</v>
      </c>
      <c r="B15" s="36" t="inlineStr">
        <is>
          <t>16 de septiembre</t>
        </is>
      </c>
    </row>
    <row r="16">
      <c r="A16" s="35" t="n">
        <v>46706</v>
      </c>
      <c r="B16" s="36" t="inlineStr">
        <is>
          <t>Tercer lunes de noviembre · conmemoración del 20 de noviembre</t>
        </is>
      </c>
    </row>
    <row r="17">
      <c r="A17" s="35" t="n">
        <v>46746</v>
      </c>
      <c r="B17" s="36" t="inlineStr">
        <is>
          <t>25 de diciembre</t>
        </is>
      </c>
    </row>
    <row r="18">
      <c r="A18" s="35" t="n">
        <v>46753</v>
      </c>
      <c r="B18" s="36" t="inlineStr">
        <is>
          <t>1 de enero</t>
        </is>
      </c>
    </row>
    <row r="19">
      <c r="A19" s="35" t="n">
        <v>46790</v>
      </c>
      <c r="B19" s="36" t="inlineStr">
        <is>
          <t>Primer lunes de febrero · conmemoración del 5 de febrero</t>
        </is>
      </c>
    </row>
    <row r="20">
      <c r="A20" s="35" t="n">
        <v>46832</v>
      </c>
      <c r="B20" s="36" t="inlineStr">
        <is>
          <t>Tercer lunes de marzo · conmemoración del 21 de marzo</t>
        </is>
      </c>
    </row>
    <row r="21">
      <c r="A21" s="35" t="n">
        <v>46874</v>
      </c>
      <c r="B21" s="36" t="inlineStr">
        <is>
          <t>1 de mayo</t>
        </is>
      </c>
    </row>
    <row r="22">
      <c r="A22" s="35" t="n">
        <v>46878</v>
      </c>
      <c r="B22" s="36" t="inlineStr">
        <is>
          <t>5 de mayo</t>
        </is>
      </c>
    </row>
    <row r="23">
      <c r="A23" s="35" t="n">
        <v>47012</v>
      </c>
      <c r="B23" s="36" t="inlineStr">
        <is>
          <t>16 de septiembre</t>
        </is>
      </c>
    </row>
    <row r="24">
      <c r="A24" s="35" t="n">
        <v>47077</v>
      </c>
      <c r="B24" s="36" t="inlineStr">
        <is>
          <t>Tercer lunes de noviembre · conmemoración del 20 de noviembre</t>
        </is>
      </c>
    </row>
    <row r="25">
      <c r="A25" s="35" t="n">
        <v>47112</v>
      </c>
      <c r="B25" s="36" t="inlineStr">
        <is>
          <t>25 de diciembre</t>
        </is>
      </c>
    </row>
    <row r="26">
      <c r="A26" s="35" t="n">
        <v>47119</v>
      </c>
      <c r="B26" s="36" t="inlineStr">
        <is>
          <t>1 de enero</t>
        </is>
      </c>
    </row>
    <row r="27">
      <c r="A27" s="35" t="n">
        <v>47154</v>
      </c>
      <c r="B27" s="36" t="inlineStr">
        <is>
          <t>Primer lunes de febrero · conmemoración del 5 de febrero</t>
        </is>
      </c>
    </row>
    <row r="28">
      <c r="A28" s="35" t="n">
        <v>47196</v>
      </c>
      <c r="B28" s="36" t="inlineStr">
        <is>
          <t>Tercer lunes de marzo · conmemoración del 21 de marzo</t>
        </is>
      </c>
    </row>
    <row r="29">
      <c r="A29" s="35" t="n">
        <v>47239</v>
      </c>
      <c r="B29" s="36" t="inlineStr">
        <is>
          <t>1 de mayo</t>
        </is>
      </c>
    </row>
    <row r="30">
      <c r="A30" s="35" t="n">
        <v>47243</v>
      </c>
      <c r="B30" s="36" t="inlineStr">
        <is>
          <t>5 de mayo</t>
        </is>
      </c>
    </row>
    <row r="31">
      <c r="A31" s="35" t="n">
        <v>47377</v>
      </c>
      <c r="B31" s="36" t="inlineStr">
        <is>
          <t>16 de septiembre</t>
        </is>
      </c>
    </row>
    <row r="32">
      <c r="A32" s="35" t="n">
        <v>47441</v>
      </c>
      <c r="B32" s="36" t="inlineStr">
        <is>
          <t>Tercer lunes de noviembre · conmemoración del 20 de noviembre</t>
        </is>
      </c>
    </row>
    <row r="33">
      <c r="A33" s="35" t="n">
        <v>47477</v>
      </c>
      <c r="B33" s="36" t="inlineStr">
        <is>
          <t>25 de diciembre</t>
        </is>
      </c>
    </row>
    <row r="35" ht="70" customHeight="1">
      <c r="B35" s="37" t="inlineStr">
        <is>
          <t>Faltan, y cambian cada año: el periodo general de vacaciones y la suspensión de labores que el SAT señale en la Resolución Miscelánea Fiscal. Agréguelos a esta lista cuando se publiquen y la calculadora los descontará sola. Tampoco está el 1 de octubre de transmisión del Poder Ejecutivo Federal, que no cae en este rango de años.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2026-10-02T18:24:14Z</dcterms:created>
  <dcterms:modified xmlns:dcterms="http://purl.org/dc/terms/" xmlns:xsi="http://www.w3.org/2001/XMLSchema-instance" xsi:type="dcterms:W3CDTF">2026-10-02T18:24:14Z</dcterms:modified>
</cp:coreProperties>
</file>