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MI PLAN" sheetId="2" state="visible" r:id="rId2"/>
    <sheet xmlns:r="http://schemas.openxmlformats.org/officeDocument/2006/relationships" name="MI BRECHA" sheetId="3" state="visible" r:id="rId3"/>
    <sheet xmlns:r="http://schemas.openxmlformats.org/officeDocument/2006/relationships" name="CALENDARIO" sheetId="4" state="visible" r:id="rId4"/>
    <sheet xmlns:r="http://schemas.openxmlformats.org/officeDocument/2006/relationships" name="FUNDAMEN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FF12224A"/>
      <sz val="16"/>
    </font>
    <font>
      <name val="Arial"/>
      <color rgb="FF5A6472"/>
      <sz val="9.5"/>
    </font>
    <font>
      <name val="Arial"/>
      <b val="1"/>
      <color rgb="FF12224A"/>
      <sz val="12"/>
    </font>
    <font>
      <name val="Arial"/>
      <color rgb="FF1B2430"/>
      <sz val="10.5"/>
    </font>
    <font>
      <name val="Arial"/>
      <color rgb="FF5A6472"/>
      <sz val="9"/>
    </font>
    <font>
      <name val="Arial"/>
      <b val="1"/>
      <color rgb="FF12224A"/>
      <sz val="15"/>
    </font>
    <font>
      <name val="Arial"/>
      <b val="1"/>
      <color rgb="FF12224A"/>
      <sz val="10"/>
    </font>
    <font>
      <name val="Arial"/>
      <b val="1"/>
      <color rgb="FFFFFFFF"/>
      <sz val="9.5"/>
    </font>
    <font>
      <name val="Arial"/>
      <color rgb="FF1B2430"/>
      <sz val="9.5"/>
    </font>
    <font>
      <name val="Arial"/>
      <b val="1"/>
      <color rgb="FF1B2430"/>
      <sz val="9.5"/>
    </font>
    <font>
      <name val="Arial"/>
      <i val="1"/>
      <color rgb="FF5A6472"/>
      <sz val="9.5"/>
    </font>
    <font>
      <name val="Arial"/>
      <color rgb="FF1B2430"/>
      <sz val="10"/>
    </font>
    <font>
      <name val="Arial"/>
      <b val="1"/>
      <color rgb="FF12224A"/>
      <sz val="11"/>
    </font>
    <font>
      <name val="Arial"/>
      <b val="1"/>
      <color rgb="FF12224A"/>
      <sz val="13"/>
    </font>
    <font>
      <name val="Arial"/>
      <b val="1"/>
      <color rgb="FFFFFFFF"/>
      <sz val="12"/>
    </font>
    <font>
      <name val="Arial"/>
      <b val="1"/>
      <color rgb="FFFFFFFF"/>
      <sz val="18"/>
    </font>
    <font>
      <name val="Arial"/>
      <b val="1"/>
      <color rgb="FF12224A"/>
      <sz val="9.5"/>
    </font>
    <font>
      <name val="Arial"/>
      <i val="1"/>
      <color rgb="FF5A6472"/>
      <sz val="9"/>
    </font>
    <font>
      <name val="Arial"/>
      <b val="1"/>
      <color rgb="FF12224A"/>
      <sz val="10.5"/>
    </font>
  </fonts>
  <fills count="5">
    <fill>
      <patternFill/>
    </fill>
    <fill>
      <patternFill patternType="gray125"/>
    </fill>
    <fill>
      <patternFill patternType="solid">
        <fgColor rgb="FF12224A"/>
      </patternFill>
    </fill>
    <fill>
      <patternFill patternType="solid">
        <fgColor rgb="FFFBF7F0"/>
      </patternFill>
    </fill>
    <fill>
      <patternFill patternType="solid">
        <fgColor rgb="FFFDF3DC"/>
      </patternFill>
    </fill>
  </fills>
  <borders count="3">
    <border>
      <left/>
      <right/>
      <top/>
      <bottom/>
      <diagonal/>
    </border>
    <border>
      <bottom style="thin">
        <color rgb="FFD8DCE3"/>
      </bottom>
    </border>
    <border>
      <left style="thin">
        <color rgb="FFD8DCE3"/>
      </left>
      <right style="thin">
        <color rgb="FFD8DCE3"/>
      </right>
      <top style="thin">
        <color rgb="FFD8DCE3"/>
      </top>
      <bottom style="thin">
        <color rgb="FFD8DCE3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0" fontId="8" fillId="2" borderId="2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top" wrapText="1"/>
    </xf>
    <xf numFmtId="0" fontId="12" fillId="0" borderId="2" pivotButton="0" quotePrefix="0" xfId="0"/>
    <xf numFmtId="0" fontId="13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 wrapText="1"/>
    </xf>
    <xf numFmtId="0" fontId="7" fillId="4" borderId="2" pivotButton="0" quotePrefix="0" xfId="0"/>
    <xf numFmtId="0" fontId="14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vertical="center" wrapText="1"/>
    </xf>
    <xf numFmtId="0" fontId="15" fillId="2" borderId="0" applyAlignment="1" pivotButton="0" quotePrefix="0" xfId="0">
      <alignment vertical="center"/>
    </xf>
    <xf numFmtId="0" fontId="16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 wrapText="1"/>
    </xf>
    <xf numFmtId="0" fontId="17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 wrapText="1"/>
    </xf>
    <xf numFmtId="0" fontId="18" fillId="3" borderId="2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left" vertical="center" wrapText="1"/>
    </xf>
    <xf numFmtId="0" fontId="19" fillId="0" borderId="0" pivotButton="0" quotePrefix="0" xfId="0"/>
    <xf numFmtId="0" fontId="9" fillId="0" borderId="0" applyAlignment="1" pivotButton="0" quotePrefix="0" xfId="0">
      <alignment vertical="top" wrapText="1"/>
    </xf>
    <xf numFmtId="0" fontId="10" fillId="3" borderId="2" applyAlignment="1" pivotButton="0" quotePrefix="0" xfId="0">
      <alignment vertical="center" wrapText="1"/>
    </xf>
    <xf numFmtId="0" fontId="17" fillId="3" borderId="2" applyAlignment="1" pivotButton="0" quotePrefix="0" xfId="0">
      <alignment vertical="center" wrapText="1"/>
    </xf>
    <xf numFmtId="0" fontId="2" fillId="3" borderId="2" applyAlignment="1" pivotButton="0" quotePrefix="0" xfId="0">
      <alignment vertical="center" wrapText="1"/>
    </xf>
    <xf numFmtId="0" fontId="10" fillId="0" borderId="2" applyAlignment="1" pivotButton="0" quotePrefix="0" xfId="0">
      <alignment vertical="center" wrapText="1"/>
    </xf>
    <xf numFmtId="0" fontId="17" fillId="0" borderId="2" applyAlignment="1" pivotButton="0" quotePrefix="0" xfId="0">
      <alignment vertical="center" wrapText="1"/>
    </xf>
    <xf numFmtId="0" fontId="18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FFDFF3E3"/>
        </patternFill>
      </fill>
    </dxf>
    <dxf>
      <fill>
        <patternFill patternType="solid">
          <fgColor rgb="FFFDF3DC"/>
        </patternFill>
      </fill>
    </dxf>
    <dxf>
      <fill>
        <patternFill patternType="solid">
          <fgColor rgb="FFFB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4" customWidth="1" min="2" max="2"/>
  </cols>
  <sheetData>
    <row r="2" ht="24" customHeight="1">
      <c r="B2" s="1" t="inlineStr">
        <is>
          <t>PLANTILLA 09 · Plan de implementación</t>
        </is>
      </c>
    </row>
    <row r="3" ht="16" customHeight="1">
      <c r="B3" s="2" t="inlineStr">
        <is>
          <t>Kit de cumplimiento del curso–taller PLD/FT · GMC360 · 360Educa 6 de octubre de 2026</t>
        </is>
      </c>
    </row>
    <row r="5" ht="20" customHeight="1">
      <c r="B5" s="3" t="inlineStr">
        <is>
          <t>PARA QUÉ SIRVE</t>
        </is>
      </c>
    </row>
    <row r="6" ht="46" customHeight="1">
      <c r="B6" s="4" t="inlineStr">
        <is>
          <t>Para salir de este curso–taller con una sola hoja que diga, obligación por obligación: dónde está usted hoy, qué le falta, quién lo hace y para cuándo. No es un diagnóstico más: es el documento con el que se trabaja el año que entra.</t>
        </is>
      </c>
    </row>
    <row r="8" ht="20" customHeight="1">
      <c r="B8" s="3" t="inlineStr">
        <is>
          <t>CÓMO SE LLENA</t>
        </is>
      </c>
    </row>
    <row r="9" ht="18" customHeight="1">
      <c r="B9" s="4" t="inlineStr">
        <is>
          <t>1.  Vaya a la hoja MI PLAN. Hay una línea por obligación, con su fundamento y la fecha en que es exigible.</t>
        </is>
      </c>
    </row>
    <row r="10" ht="32" customHeight="1">
      <c r="B10" s="4" t="inlineStr">
        <is>
          <t>2.  En la columna «Dónde estoy hoy» escoja uno de los cinco resultados de la lista. Son los mismos cinco con los que el auditor va a calificar su cumplimiento en el dictamen (RCG 48). Calificarse con la escala del examen es deliberado.</t>
        </is>
      </c>
    </row>
    <row r="11" ht="32" customHeight="1">
      <c r="B11" s="4" t="inlineStr">
        <is>
          <t>3.  En «¿Tengo evidencia objetiva?» conteste Sí o No. Ésta es la columna que de verdad importa: sin evidencia objetiva el techo de la calificación es «Cumple parcialmente», aunque usted sí esté cumpliendo.</t>
        </is>
      </c>
    </row>
    <row r="12" ht="18" customHeight="1">
      <c r="B12" s="4" t="inlineStr">
        <is>
          <t>4.  Escriba qué le falta, quién lo hace y para cuándo. Sin nombre y sin fecha no es un plan: es una lista de buenos deseos.</t>
        </is>
      </c>
    </row>
    <row r="13" ht="18" customHeight="1">
      <c r="B13" s="4" t="inlineStr">
        <is>
          <t>5.  La hoja MI BRECHA se calcula sola. Ése es su número.</t>
        </is>
      </c>
    </row>
    <row r="15" ht="20" customHeight="1">
      <c r="B15" s="3" t="inlineStr">
        <is>
          <t>LA ESCALA · RCG 48</t>
        </is>
      </c>
    </row>
    <row r="16" ht="28" customHeight="1">
      <c r="B16" s="4" t="inlineStr">
        <is>
          <t>Cumple — Eficacia demostrada y no se requieren mejoras.</t>
        </is>
      </c>
    </row>
    <row r="17" ht="28" customHeight="1">
      <c r="B17" s="4" t="inlineStr">
        <is>
          <t>Cumple mayoritariamente — La eficacia no se puede demostrar del todo. Lleva al menos una recomendación de mejora.</t>
        </is>
      </c>
    </row>
    <row r="18" ht="28" customHeight="1">
      <c r="B18" s="4" t="inlineStr">
        <is>
          <t>Cumple parcialmente — La eficacia no se puede demostrar POR NO CONTAR CON EVIDENCIA OBJETIVA. Lleva al menos un hallazgo.</t>
        </is>
      </c>
    </row>
    <row r="19" ht="28" customHeight="1">
      <c r="B19" s="4" t="inlineStr">
        <is>
          <t>No cumple — No cubre los elementos necesarios, o es un incumplimiento que actualiza una sanción.</t>
        </is>
      </c>
    </row>
    <row r="20" ht="28" customHeight="1">
      <c r="B20" s="4" t="inlineStr">
        <is>
          <t>No aplica — La obligación no le es exigible. El auditor debe verificarlo: no es una salida fácil.</t>
        </is>
      </c>
    </row>
    <row r="22" ht="20" customHeight="1">
      <c r="B22" s="3" t="inlineStr">
        <is>
          <t>LO QUE ESTA HOJA NO HACE</t>
        </is>
      </c>
    </row>
    <row r="23" ht="32" customHeight="1">
      <c r="B23" s="4" t="inlineStr">
        <is>
          <t>No sustituye la auditoría de efectividad del artículo 18 fracción XI, ni el dictamen del Capítulo XIV de las Reglas. Es su autodiagnóstico, hecho con la misma escala, para llegar a esa auditoría sin sorpresas.</t>
        </is>
      </c>
    </row>
    <row r="25" ht="30" customHeight="1">
      <c r="B25" s="5" t="inlineStr">
        <is>
          <t>Cotejo: Ley con última reforma DOF 16-07-2025 · Reglamento con reforma DOF 27-03-2026 · Reglas con el ACUERDO 115/2026, DOF 07-08-2026.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15" customWidth="1" min="4" max="4"/>
    <col width="20" customWidth="1" min="5" max="5"/>
    <col width="13" customWidth="1" min="6" max="6"/>
    <col width="34" customWidth="1" min="7" max="7"/>
    <col width="18" customWidth="1" min="8" max="8"/>
    <col width="13" customWidth="1" min="9" max="9"/>
    <col width="12" customWidth="1" min="10" max="10"/>
  </cols>
  <sheetData>
    <row r="1" ht="26" customHeight="1">
      <c r="A1" s="6" t="inlineStr">
        <is>
          <t>MI PLAN DE IMPLEMENTACIÓN</t>
        </is>
      </c>
    </row>
    <row r="2" ht="16" customHeight="1">
      <c r="A2" s="7" t="inlineStr">
        <is>
          <t>Una línea por obligación. Las columnas en blanco son suyas. La columna «Semáforo» se calcula sola.</t>
        </is>
      </c>
    </row>
    <row r="3" ht="18" customHeight="1">
      <c r="A3" s="8" t="inlineStr">
        <is>
          <t>Nombre o razón social:</t>
        </is>
      </c>
      <c r="C3" s="9" t="inlineStr"/>
      <c r="E3" s="8" t="inlineStr">
        <is>
          <t>Fecha:</t>
        </is>
      </c>
      <c r="F3" s="9" t="inlineStr"/>
    </row>
    <row r="5" ht="42" customHeight="1">
      <c r="A5" s="10" t="inlineStr">
        <is>
          <t>#</t>
        </is>
      </c>
      <c r="B5" s="10" t="inlineStr">
        <is>
          <t>Obligación</t>
        </is>
      </c>
      <c r="C5" s="10" t="inlineStr">
        <is>
          <t>Fundamento</t>
        </is>
      </c>
      <c r="D5" s="10" t="inlineStr">
        <is>
          <t>Exigible desde</t>
        </is>
      </c>
      <c r="E5" s="10" t="inlineStr">
        <is>
          <t>Dónde estoy hoy</t>
        </is>
      </c>
      <c r="F5" s="10" t="inlineStr">
        <is>
          <t>¿Tengo evidencia objetiva?</t>
        </is>
      </c>
      <c r="G5" s="10" t="inlineStr">
        <is>
          <t>Qué me falta</t>
        </is>
      </c>
      <c r="H5" s="10" t="inlineStr">
        <is>
          <t>Responsable</t>
        </is>
      </c>
      <c r="I5" s="10" t="inlineStr">
        <is>
          <t>Fecha objetivo</t>
        </is>
      </c>
      <c r="J5" s="10" t="inlineStr">
        <is>
          <t>Semáforo</t>
        </is>
      </c>
    </row>
    <row r="6" ht="30" customHeight="1">
      <c r="A6" s="11" t="n">
        <v>1</v>
      </c>
      <c r="B6" s="12" t="inlineStr">
        <is>
          <t>Identificar y conocer de manera DIRECTA al Cliente o Usuario y verificar su identidad</t>
        </is>
      </c>
      <c r="C6" s="12" t="inlineStr">
        <is>
          <t>L 18 fr. I</t>
        </is>
      </c>
      <c r="D6" s="11" t="inlineStr">
        <is>
          <t>30 nov 2026</t>
        </is>
      </c>
      <c r="E6" s="13" t="n"/>
      <c r="F6" s="14" t="n"/>
      <c r="G6" s="13" t="n"/>
      <c r="H6" s="13" t="n"/>
      <c r="I6" s="14" t="n"/>
      <c r="J6" s="15">
        <f>IF(E6="","",IF(OR(E6="No cumple",AND(E6&lt;&gt;"No aplica",F6="No")),"ROJO",IF(OR(E6="Cumple parcialmente",E6="Cumple mayoritariamente",F6="Parcial",AND(E6&lt;&gt;"No aplica",F6="")),"ÁMBAR","VERDE")))</f>
        <v/>
      </c>
    </row>
    <row r="7" ht="30" customHeight="1">
      <c r="A7" s="11" t="n">
        <v>2</v>
      </c>
      <c r="B7" s="12" t="inlineStr">
        <is>
          <t>Solicitar información sobre actividad u ocupación cuando hay Relación de negocios</t>
        </is>
      </c>
      <c r="C7" s="12" t="inlineStr">
        <is>
          <t>L 18 fr. II</t>
        </is>
      </c>
      <c r="D7" s="11" t="inlineStr">
        <is>
          <t>30 nov 2026</t>
        </is>
      </c>
      <c r="E7" s="13" t="n"/>
      <c r="F7" s="14" t="n"/>
      <c r="G7" s="13" t="n"/>
      <c r="H7" s="13" t="n"/>
      <c r="I7" s="14" t="n"/>
      <c r="J7" s="15">
        <f>IF(E7="","",IF(OR(E7="No cumple",AND(E7&lt;&gt;"No aplica",F7="No")),"ROJO",IF(OR(E7="Cumple parcialmente",E7="Cumple mayoritariamente",F7="Parcial",AND(E7&lt;&gt;"No aplica",F7="")),"ÁMBAR","VERDE")))</f>
        <v/>
      </c>
    </row>
    <row r="8" ht="30" customHeight="1">
      <c r="A8" s="11" t="n">
        <v>3</v>
      </c>
      <c r="B8" s="12" t="inlineStr">
        <is>
          <t>Identificar al Beneficiario Controlador del cliente persona moral o fideicomiso; declaración en persona física</t>
        </is>
      </c>
      <c r="C8" s="12" t="inlineStr">
        <is>
          <t>L 18 fr. III</t>
        </is>
      </c>
      <c r="D8" s="11" t="inlineStr">
        <is>
          <t>30 nov 2026</t>
        </is>
      </c>
      <c r="E8" s="13" t="n"/>
      <c r="F8" s="14" t="n"/>
      <c r="G8" s="13" t="n"/>
      <c r="H8" s="13" t="n"/>
      <c r="I8" s="14" t="n"/>
      <c r="J8" s="15">
        <f>IF(E8="","",IF(OR(E8="No cumple",AND(E8&lt;&gt;"No aplica",F8="No")),"ROJO",IF(OR(E8="Cumple parcialmente",E8="Cumple mayoritariamente",F8="Parcial",AND(E8&lt;&gt;"No aplica",F8="")),"ÁMBAR","VERDE")))</f>
        <v/>
      </c>
    </row>
    <row r="9" ht="30" customHeight="1">
      <c r="A9" s="11" t="n">
        <v>4</v>
      </c>
      <c r="B9" s="12" t="inlineStr">
        <is>
          <t>Determinar al Beneficiario Controlador con el orden de prelación de tres niveles</t>
        </is>
      </c>
      <c r="C9" s="12" t="inlineStr">
        <is>
          <t>RCG Cap. III Quinquies</t>
        </is>
      </c>
      <c r="D9" s="11" t="inlineStr">
        <is>
          <t>1 mar 2027</t>
        </is>
      </c>
      <c r="E9" s="13" t="n"/>
      <c r="F9" s="14" t="n"/>
      <c r="G9" s="13" t="n"/>
      <c r="H9" s="13" t="n"/>
      <c r="I9" s="14" t="n"/>
      <c r="J9" s="15">
        <f>IF(E9="","",IF(OR(E9="No cumple",AND(E9&lt;&gt;"No aplica",F9="No")),"ROJO",IF(OR(E9="Cumple parcialmente",E9="Cumple mayoritariamente",F9="Parcial",AND(E9&lt;&gt;"No aplica",F9="")),"ÁMBAR","VERDE")))</f>
        <v/>
      </c>
    </row>
    <row r="10" ht="30" customHeight="1">
      <c r="A10" s="11" t="n">
        <v>5</v>
      </c>
      <c r="B10" s="12" t="inlineStr">
        <is>
          <t>Custodiar, proteger y resguardar el expediente. Conservación 10 años en el domicilio registrado</t>
        </is>
      </c>
      <c r="C10" s="12" t="inlineStr">
        <is>
          <t>L 18 fr. IV</t>
        </is>
      </c>
      <c r="D10" s="11" t="inlineStr">
        <is>
          <t>Vigente</t>
        </is>
      </c>
      <c r="E10" s="13" t="n"/>
      <c r="F10" s="14" t="n"/>
      <c r="G10" s="13" t="n"/>
      <c r="H10" s="13" t="n"/>
      <c r="I10" s="14" t="n"/>
      <c r="J10" s="15">
        <f>IF(E10="","",IF(OR(E10="No cumple",AND(E10&lt;&gt;"No aplica",F10="No")),"ROJO",IF(OR(E10="Cumple parcialmente",E10="Cumple mayoritariamente",F10="Parcial",AND(E10&lt;&gt;"No aplica",F10="")),"ÁMBAR","VERDE")))</f>
        <v/>
      </c>
    </row>
    <row r="11" ht="30" customHeight="1">
      <c r="A11" s="11" t="n">
        <v>6</v>
      </c>
      <c r="B11" s="12" t="inlineStr">
        <is>
          <t>Verificar al menos una vez al año que los expedientes de clientes con Relación de negocios estén completos</t>
        </is>
      </c>
      <c r="C11" s="12" t="inlineStr">
        <is>
          <t>RCG 21</t>
        </is>
      </c>
      <c r="D11" s="11" t="inlineStr">
        <is>
          <t>30 nov 2026</t>
        </is>
      </c>
      <c r="E11" s="13" t="n"/>
      <c r="F11" s="14" t="n"/>
      <c r="G11" s="13" t="n"/>
      <c r="H11" s="13" t="n"/>
      <c r="I11" s="14" t="n"/>
      <c r="J11" s="15">
        <f>IF(E11="","",IF(OR(E11="No cumple",AND(E11&lt;&gt;"No aplica",F11="No")),"ROJO",IF(OR(E11="Cumple parcialmente",E11="Cumple mayoritariamente",F11="Parcial",AND(E11&lt;&gt;"No aplica",F11="")),"ÁMBAR","VERDE")))</f>
        <v/>
      </c>
    </row>
    <row r="12" ht="30" customHeight="1">
      <c r="A12" s="11" t="n">
        <v>7</v>
      </c>
      <c r="B12" s="12" t="inlineStr">
        <is>
          <t>Alta y registro en el padrón, y mantener actualizados sus datos y su domicilio</t>
        </is>
      </c>
      <c r="C12" s="12" t="inlineStr">
        <is>
          <t>L 18 fr. IV Bis · RCG 7</t>
        </is>
      </c>
      <c r="D12" s="11" t="inlineStr">
        <is>
          <t>Vigente</t>
        </is>
      </c>
      <c r="E12" s="13" t="n"/>
      <c r="F12" s="14" t="n"/>
      <c r="G12" s="13" t="n"/>
      <c r="H12" s="13" t="n"/>
      <c r="I12" s="14" t="n"/>
      <c r="J12" s="15">
        <f>IF(E12="","",IF(OR(E12="No cumple",AND(E12&lt;&gt;"No aplica",F12="No")),"ROJO",IF(OR(E12="Cumple parcialmente",E12="Cumple mayoritariamente",F12="Parcial",AND(E12&lt;&gt;"No aplica",F12="")),"ÁMBAR","VERDE")))</f>
        <v/>
      </c>
    </row>
    <row r="13" ht="30" customHeight="1">
      <c r="A13" s="11" t="n">
        <v>8</v>
      </c>
      <c r="B13" s="12" t="inlineStr">
        <is>
          <t>Usar el formato nuevo de alta y registro</t>
        </is>
      </c>
      <c r="C13" s="12" t="inlineStr">
        <is>
          <t>Resolución DOF 24-sep-2026</t>
        </is>
      </c>
      <c r="D13" s="11" t="inlineStr">
        <is>
          <t>1 feb 2027</t>
        </is>
      </c>
      <c r="E13" s="13" t="n"/>
      <c r="F13" s="14" t="n"/>
      <c r="G13" s="13" t="n"/>
      <c r="H13" s="13" t="n"/>
      <c r="I13" s="14" t="n"/>
      <c r="J13" s="15">
        <f>IF(E13="","",IF(OR(E13="No cumple",AND(E13&lt;&gt;"No aplica",F13="No")),"ROJO",IF(OR(E13="Cumple parcialmente",E13="Cumple mayoritariamente",F13="Parcial",AND(E13&lt;&gt;"No aplica",F13="")),"ÁMBAR","VERDE")))</f>
        <v/>
      </c>
    </row>
    <row r="14" ht="30" customHeight="1">
      <c r="A14" s="11" t="n">
        <v>9</v>
      </c>
      <c r="B14" s="12" t="inlineStr">
        <is>
          <t>Designar Representante Encargada de Cumplimiento y mantener vigente la designación</t>
        </is>
      </c>
      <c r="C14" s="12" t="inlineStr">
        <is>
          <t>L 20</t>
        </is>
      </c>
      <c r="D14" s="11" t="inlineStr">
        <is>
          <t>Vigente</t>
        </is>
      </c>
      <c r="E14" s="13" t="n"/>
      <c r="F14" s="14" t="n"/>
      <c r="G14" s="13" t="n"/>
      <c r="H14" s="13" t="n"/>
      <c r="I14" s="14" t="n"/>
      <c r="J14" s="15">
        <f>IF(E14="","",IF(OR(E14="No cumple",AND(E14&lt;&gt;"No aplica",F14="No")),"ROJO",IF(OR(E14="Cumple parcialmente",E14="Cumple mayoritariamente",F14="Parcial",AND(E14&lt;&gt;"No aplica",F14="")),"ÁMBAR","VERDE")))</f>
        <v/>
      </c>
    </row>
    <row r="15" ht="30" customHeight="1">
      <c r="A15" s="11" t="n">
        <v>10</v>
      </c>
      <c r="B15" s="12" t="inlineStr">
        <is>
          <t>Capacitación anual de la Representante Encargada de Cumplimiento</t>
        </is>
      </c>
      <c r="C15" s="12" t="inlineStr">
        <is>
          <t>L 20, 3er párrafo</t>
        </is>
      </c>
      <c r="D15" s="11" t="inlineStr">
        <is>
          <t>Vigente</t>
        </is>
      </c>
      <c r="E15" s="13" t="n"/>
      <c r="F15" s="14" t="n"/>
      <c r="G15" s="13" t="n"/>
      <c r="H15" s="13" t="n"/>
      <c r="I15" s="14" t="n"/>
      <c r="J15" s="15">
        <f>IF(E15="","",IF(OR(E15="No cumple",AND(E15&lt;&gt;"No aplica",F15="No")),"ROJO",IF(OR(E15="Cumple parcialmente",E15="Cumple mayoritariamente",F15="Parcial",AND(E15&lt;&gt;"No aplica",F15="")),"ÁMBAR","VERDE")))</f>
        <v/>
      </c>
    </row>
    <row r="16" ht="30" customHeight="1">
      <c r="A16" s="11" t="n">
        <v>11</v>
      </c>
      <c r="B16" s="12" t="inlineStr">
        <is>
          <t>Brindar facilidades para las visitas de verificación</t>
        </is>
      </c>
      <c r="C16" s="12" t="inlineStr">
        <is>
          <t>L 18 fr. V</t>
        </is>
      </c>
      <c r="D16" s="11" t="inlineStr">
        <is>
          <t>Vigente</t>
        </is>
      </c>
      <c r="E16" s="13" t="n"/>
      <c r="F16" s="14" t="n"/>
      <c r="G16" s="13" t="n"/>
      <c r="H16" s="13" t="n"/>
      <c r="I16" s="14" t="n"/>
      <c r="J16" s="15">
        <f>IF(E16="","",IF(OR(E16="No cumple",AND(E16&lt;&gt;"No aplica",F16="No")),"ROJO",IF(OR(E16="Cumple parcialmente",E16="Cumple mayoritariamente",F16="Parcial",AND(E16&lt;&gt;"No aplica",F16="")),"ÁMBAR","VERDE")))</f>
        <v/>
      </c>
    </row>
    <row r="17" ht="30" customHeight="1">
      <c r="A17" s="11" t="n">
        <v>12</v>
      </c>
      <c r="B17" s="12" t="inlineStr">
        <is>
          <t>Presentar Avisos e Informes a más tardar el día 17 del mes siguiente</t>
        </is>
      </c>
      <c r="C17" s="12" t="inlineStr">
        <is>
          <t>L 18 fr. VI · L 23</t>
        </is>
      </c>
      <c r="D17" s="11" t="inlineStr">
        <is>
          <t>Vigente</t>
        </is>
      </c>
      <c r="E17" s="13" t="n"/>
      <c r="F17" s="14" t="n"/>
      <c r="G17" s="13" t="n"/>
      <c r="H17" s="13" t="n"/>
      <c r="I17" s="14" t="n"/>
      <c r="J17" s="15">
        <f>IF(E17="","",IF(OR(E17="No cumple",AND(E17&lt;&gt;"No aplica",F17="No")),"ROJO",IF(OR(E17="Cumple parcialmente",E17="Cumple mayoritariamente",F17="Parcial",AND(E17&lt;&gt;"No aplica",F17="")),"ÁMBAR","VERDE")))</f>
        <v/>
      </c>
    </row>
    <row r="18" ht="30" customHeight="1">
      <c r="A18" s="11" t="n">
        <v>13</v>
      </c>
      <c r="B18" s="12" t="inlineStr">
        <is>
          <t>Presentar el Aviso dentro de las 24 horas por sospecha, aunque la operación no se celebre</t>
        </is>
      </c>
      <c r="C18" s="12" t="inlineStr">
        <is>
          <t>L 18 fr. VI, 2º párrafo</t>
        </is>
      </c>
      <c r="D18" s="11" t="inlineStr">
        <is>
          <t>Vigente</t>
        </is>
      </c>
      <c r="E18" s="13" t="n"/>
      <c r="F18" s="14" t="n"/>
      <c r="G18" s="13" t="n"/>
      <c r="H18" s="13" t="n"/>
      <c r="I18" s="14" t="n"/>
      <c r="J18" s="15">
        <f>IF(E18="","",IF(OR(E18="No cumple",AND(E18&lt;&gt;"No aplica",F18="No")),"ROJO",IF(OR(E18="Cumple parcialmente",E18="Cumple mayoritariamente",F18="Parcial",AND(E18&lt;&gt;"No aplica",F18="")),"ÁMBAR","VERDE")))</f>
        <v/>
      </c>
    </row>
    <row r="19" ht="30" customHeight="1">
      <c r="A19" s="11" t="n">
        <v>14</v>
      </c>
      <c r="B19" s="12" t="inlineStr">
        <is>
          <t>Presentar todos los Avisos con los formatos nuevos</t>
        </is>
      </c>
      <c r="C19" s="12" t="inlineStr">
        <is>
          <t>Resolución DOF 24-sep-2026</t>
        </is>
      </c>
      <c r="D19" s="11" t="inlineStr">
        <is>
          <t>1 jun 2027</t>
        </is>
      </c>
      <c r="E19" s="13" t="n"/>
      <c r="F19" s="14" t="n"/>
      <c r="G19" s="13" t="n"/>
      <c r="H19" s="13" t="n"/>
      <c r="I19" s="14" t="n"/>
      <c r="J19" s="15">
        <f>IF(E19="","",IF(OR(E19="No cumple",AND(E19&lt;&gt;"No aplica",F19="No")),"ROJO",IF(OR(E19="Cumple parcialmente",E19="Cumple mayoritariamente",F19="Parcial",AND(E19&lt;&gt;"No aplica",F19="")),"ÁMBAR","VERDE")))</f>
        <v/>
      </c>
    </row>
    <row r="20" ht="30" customHeight="1">
      <c r="A20" s="11" t="n">
        <v>15</v>
      </c>
      <c r="B20" s="12" t="inlineStr">
        <is>
          <t>Evaluación con enfoque basado en Riesgos, a disposición de la autoridad</t>
        </is>
      </c>
      <c r="C20" s="12" t="inlineStr">
        <is>
          <t>L 18 fr. VII</t>
        </is>
      </c>
      <c r="D20" s="11" t="inlineStr">
        <is>
          <t>1 mar 2027</t>
        </is>
      </c>
      <c r="E20" s="13" t="n"/>
      <c r="F20" s="14" t="n"/>
      <c r="G20" s="13" t="n"/>
      <c r="H20" s="13" t="n"/>
      <c r="I20" s="14" t="n"/>
      <c r="J20" s="15">
        <f>IF(E20="","",IF(OR(E20="No cumple",AND(E20&lt;&gt;"No aplica",F20="No")),"ROJO",IF(OR(E20="Cumple parcialmente",E20="Cumple mayoritariamente",F20="Parcial",AND(E20&lt;&gt;"No aplica",F20="")),"ÁMBAR","VERDE")))</f>
        <v/>
      </c>
    </row>
    <row r="21" ht="30" customHeight="1">
      <c r="A21" s="11" t="n">
        <v>16</v>
      </c>
      <c r="B21" s="12" t="inlineStr">
        <is>
          <t>Manual de Políticas Internas, incluido el tratamiento de Personas Políticamente Expuestas</t>
        </is>
      </c>
      <c r="C21" s="12" t="inlineStr">
        <is>
          <t>L 18 fr. VIII</t>
        </is>
      </c>
      <c r="D21" s="11" t="inlineStr">
        <is>
          <t>1 mar 2027</t>
        </is>
      </c>
      <c r="E21" s="13" t="n"/>
      <c r="F21" s="14" t="n"/>
      <c r="G21" s="13" t="n"/>
      <c r="H21" s="13" t="n"/>
      <c r="I21" s="14" t="n"/>
      <c r="J21" s="15">
        <f>IF(E21="","",IF(OR(E21="No cumple",AND(E21&lt;&gt;"No aplica",F21="No")),"ROJO",IF(OR(E21="Cumple parcialmente",E21="Cumple mayoritariamente",F21="Parcial",AND(E21&lt;&gt;"No aplica",F21="")),"ÁMBAR","VERDE")))</f>
        <v/>
      </c>
    </row>
    <row r="22" ht="30" customHeight="1">
      <c r="A22" s="11" t="n">
        <v>17</v>
      </c>
      <c r="B22" s="12" t="inlineStr">
        <is>
          <t>Procesos de selección de personal para nuevas contrataciones</t>
        </is>
      </c>
      <c r="C22" s="12" t="inlineStr">
        <is>
          <t>L 18 fr. IX · RCG Trans. Sexto</t>
        </is>
      </c>
      <c r="D22" s="11" t="inlineStr">
        <is>
          <t>1 mar 2027</t>
        </is>
      </c>
      <c r="E22" s="13" t="n"/>
      <c r="F22" s="14" t="n"/>
      <c r="G22" s="13" t="n"/>
      <c r="H22" s="13" t="n"/>
      <c r="I22" s="14" t="n"/>
      <c r="J22" s="15">
        <f>IF(E22="","",IF(OR(E22="No cumple",AND(E22&lt;&gt;"No aplica",F22="No")),"ROJO",IF(OR(E22="Cumple parcialmente",E22="Cumple mayoritariamente",F22="Parcial",AND(E22&lt;&gt;"No aplica",F22="")),"ÁMBAR","VERDE")))</f>
        <v/>
      </c>
    </row>
    <row r="23" ht="30" customHeight="1">
      <c r="A23" s="11" t="n">
        <v>18</v>
      </c>
      <c r="B23" s="12" t="inlineStr">
        <is>
          <t>Programa anual de capacitación — primer periodo 1 ene a 31 dic de 2027</t>
        </is>
      </c>
      <c r="C23" s="12" t="inlineStr">
        <is>
          <t>L 18 fr. IX · RCG Trans. Séptimo</t>
        </is>
      </c>
      <c r="D23" s="11" t="inlineStr">
        <is>
          <t>1 ene 2027</t>
        </is>
      </c>
      <c r="E23" s="13" t="n"/>
      <c r="F23" s="14" t="n"/>
      <c r="G23" s="13" t="n"/>
      <c r="H23" s="13" t="n"/>
      <c r="I23" s="14" t="n"/>
      <c r="J23" s="15">
        <f>IF(E23="","",IF(OR(E23="No cumple",AND(E23&lt;&gt;"No aplica",F23="No")),"ROJO",IF(OR(E23="Cumple parcialmente",E23="Cumple mayoritariamente",F23="Parcial",AND(E23&lt;&gt;"No aplica",F23="")),"ÁMBAR","VERDE")))</f>
        <v/>
      </c>
    </row>
    <row r="24" ht="30" customHeight="1">
      <c r="A24" s="11" t="n">
        <v>19</v>
      </c>
      <c r="B24" s="12" t="inlineStr">
        <is>
          <t>Mecanismos automatizados de monitoreo permanente de operaciones</t>
        </is>
      </c>
      <c r="C24" s="12" t="inlineStr">
        <is>
          <t>L 18 fr. X · RCG Trans. Noveno</t>
        </is>
      </c>
      <c r="D24" s="11" t="inlineStr">
        <is>
          <t>1 jun 2027</t>
        </is>
      </c>
      <c r="E24" s="13" t="n"/>
      <c r="F24" s="14" t="n"/>
      <c r="G24" s="13" t="n"/>
      <c r="H24" s="13" t="n"/>
      <c r="I24" s="14" t="n"/>
      <c r="J24" s="15">
        <f>IF(E24="","",IF(OR(E24="No cumple",AND(E24&lt;&gt;"No aplica",F24="No")),"ROJO",IF(OR(E24="Cumple parcialmente",E24="Cumple mayoritariamente",F24="Parcial",AND(E24&lt;&gt;"No aplica",F24="")),"ÁMBAR","VERDE")))</f>
        <v/>
      </c>
    </row>
    <row r="25" ht="30" customHeight="1">
      <c r="A25" s="11" t="n">
        <v>20</v>
      </c>
      <c r="B25" s="12" t="inlineStr">
        <is>
          <t>Auditoría de efectividad — primer periodo de revisión 2028</t>
        </is>
      </c>
      <c r="C25" s="12" t="inlineStr">
        <is>
          <t>L 18 fr. XI · RCG Trans. Octavo</t>
        </is>
      </c>
      <c r="D25" s="11" t="inlineStr">
        <is>
          <t>1 ene 2028</t>
        </is>
      </c>
      <c r="E25" s="13" t="n"/>
      <c r="F25" s="14" t="n"/>
      <c r="G25" s="13" t="n"/>
      <c r="H25" s="13" t="n"/>
      <c r="I25" s="14" t="n"/>
      <c r="J25" s="15">
        <f>IF(E25="","",IF(OR(E25="No cumple",AND(E25&lt;&gt;"No aplica",F25="No")),"ROJO",IF(OR(E25="Cumple parcialmente",E25="Cumple mayoritariamente",F25="Parcial",AND(E25&lt;&gt;"No aplica",F25="")),"ÁMBAR","VERDE")))</f>
        <v/>
      </c>
    </row>
    <row r="26" ht="30" customHeight="1">
      <c r="A26" s="11" t="n">
        <v>21</v>
      </c>
      <c r="B26" s="12" t="inlineStr">
        <is>
          <t>Dictamen de auditoría — a más tardar el último día hábil de marzo</t>
        </is>
      </c>
      <c r="C26" s="12" t="inlineStr">
        <is>
          <t>RCG 50</t>
        </is>
      </c>
      <c r="D26" s="11" t="inlineStr">
        <is>
          <t>mar 2029</t>
        </is>
      </c>
      <c r="E26" s="13" t="n"/>
      <c r="F26" s="14" t="n"/>
      <c r="G26" s="13" t="n"/>
      <c r="H26" s="13" t="n"/>
      <c r="I26" s="14" t="n"/>
      <c r="J26" s="15">
        <f>IF(E26="","",IF(OR(E26="No cumple",AND(E26&lt;&gt;"No aplica",F26="No")),"ROJO",IF(OR(E26="Cumple parcialmente",E26="Cumple mayoritariamente",F26="Parcial",AND(E26&lt;&gt;"No aplica",F26="")),"ÁMBAR","VERDE")))</f>
        <v/>
      </c>
    </row>
    <row r="27" ht="30" customHeight="1">
      <c r="A27" s="11" t="n">
        <v>22</v>
      </c>
      <c r="B27" s="12" t="inlineStr">
        <is>
          <t>No liquidar ni aceptar pago en efectivo por encima de los topes del artículo 32</t>
        </is>
      </c>
      <c r="C27" s="12" t="inlineStr">
        <is>
          <t>L 32</t>
        </is>
      </c>
      <c r="D27" s="11" t="inlineStr">
        <is>
          <t>Vigente</t>
        </is>
      </c>
      <c r="E27" s="13" t="n"/>
      <c r="F27" s="14" t="n"/>
      <c r="G27" s="13" t="n"/>
      <c r="H27" s="13" t="n"/>
      <c r="I27" s="14" t="n"/>
      <c r="J27" s="15">
        <f>IF(E27="","",IF(OR(E27="No cumple",AND(E27&lt;&gt;"No aplica",F27="No")),"ROJO",IF(OR(E27="Cumple parcialmente",E27="Cumple mayoritariamente",F27="Parcial",AND(E27&lt;&gt;"No aplica",F27="")),"ÁMBAR","VERDE")))</f>
        <v/>
      </c>
    </row>
    <row r="28" ht="30" customHeight="1">
      <c r="A28" s="11" t="n">
        <v>23</v>
      </c>
      <c r="B28" s="12" t="inlineStr">
        <is>
          <t>Identificar la forma de pago en los instrumentos de fe pública</t>
        </is>
      </c>
      <c r="C28" s="12" t="inlineStr">
        <is>
          <t>L 33</t>
        </is>
      </c>
      <c r="D28" s="11" t="inlineStr">
        <is>
          <t>Vigente</t>
        </is>
      </c>
      <c r="E28" s="13" t="n"/>
      <c r="F28" s="14" t="n"/>
      <c r="G28" s="13" t="n"/>
      <c r="H28" s="13" t="n"/>
      <c r="I28" s="14" t="n"/>
      <c r="J28" s="15">
        <f>IF(E28="","",IF(OR(E28="No cumple",AND(E28&lt;&gt;"No aplica",F28="No")),"ROJO",IF(OR(E28="Cumple parcialmente",E28="Cumple mayoritariamente",F28="Parcial",AND(E28&lt;&gt;"No aplica",F28="")),"ÁMBAR","VERDE")))</f>
        <v/>
      </c>
    </row>
    <row r="30" ht="30" customHeight="1">
      <c r="B30" s="16" t="inlineStr">
        <is>
          <t>El semáforo es ROJO cuando la obligación está en «No cumple», o cuando no tiene evidencia objetiva. Sin evidencia no hay cumplimiento demostrable, y eso es exactamente lo que califica el dictamen.</t>
        </is>
      </c>
    </row>
  </sheetData>
  <conditionalFormatting sqref="J6:J28">
    <cfRule type="cellIs" priority="1" operator="equal" dxfId="0">
      <formula>"VERDE"</formula>
    </cfRule>
    <cfRule type="cellIs" priority="2" operator="equal" dxfId="1">
      <formula>"ÁMBAR"</formula>
    </cfRule>
    <cfRule type="cellIs" priority="3" operator="equal" dxfId="2">
      <formula>"ROJO"</formula>
    </cfRule>
  </conditionalFormatting>
  <conditionalFormatting sqref="A6:I28">
    <cfRule type="expression" priority="4" dxfId="2">
      <formula>$J6="ROJO"</formula>
    </cfRule>
  </conditionalFormatting>
  <dataValidations count="2">
    <dataValidation sqref="E6 E7 E8 E9 E10 E11 E12 E13 E14 E15 E16 E17 E18 E19 E20 E21 E22 E23 E24 E25 E26 E27 E28" showDropDown="0" showInputMessage="0" showErrorMessage="0" allowBlank="1" errorTitle="Fuera de la escala" error="Escoja uno de los cinco resultados del RCG 48." type="list">
      <formula1>"Cumple,Cumple mayoritariamente,Cumple parcialmente,No cumple,No aplica"</formula1>
    </dataValidation>
    <dataValidation sqref="F6 F7 F8 F9 F10 F11 F12 F13 F14 F15 F16 F17 F18 F19 F20 F21 F22 F23 F24 F25 F26 F27 F28" showDropDown="0" showInputMessage="0" showErrorMessage="0" allowBlank="1" type="list">
      <formula1>"Sí,No,Parcial"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2" customWidth="1" min="2" max="2"/>
    <col width="14" customWidth="1" min="3" max="3"/>
    <col width="58" customWidth="1" min="4" max="4"/>
  </cols>
  <sheetData>
    <row r="1" ht="26" customHeight="1">
      <c r="A1" s="6" t="inlineStr">
        <is>
          <t>MI BRECHA</t>
        </is>
      </c>
    </row>
    <row r="2" ht="16" customHeight="1">
      <c r="A2" s="7" t="inlineStr">
        <is>
          <t>Se calcula sola desde la hoja MI PLAN. Este es el número que se escribe en el chat.</t>
        </is>
      </c>
    </row>
    <row r="4" ht="30" customHeight="1">
      <c r="A4" s="10" t="inlineStr"/>
      <c r="B4" s="10" t="inlineStr">
        <is>
          <t>Indicador</t>
        </is>
      </c>
      <c r="C4" s="10" t="inlineStr">
        <is>
          <t>Número</t>
        </is>
      </c>
      <c r="D4" s="10" t="inlineStr">
        <is>
          <t>Qué significa</t>
        </is>
      </c>
    </row>
    <row r="5" ht="24" customHeight="1">
      <c r="B5" s="17" t="inlineStr">
        <is>
          <t>Obligaciones en la hoja</t>
        </is>
      </c>
      <c r="C5" s="18">
        <f>COUNT('MI PLAN'!A6:A100)</f>
        <v/>
      </c>
      <c r="D5" s="19" t="inlineStr">
        <is>
          <t>Total de líneas del plan.</t>
        </is>
      </c>
    </row>
    <row r="6" ht="24" customHeight="1">
      <c r="B6" s="17" t="inlineStr">
        <is>
          <t>Ya calificadas</t>
        </is>
      </c>
      <c r="C6" s="18">
        <f>COUNTIF('MI PLAN'!E6:E100,"&lt;&gt;")</f>
        <v/>
      </c>
      <c r="D6" s="19" t="inlineStr">
        <is>
          <t>Si este número es menor que el anterior, el plan está a medias.</t>
        </is>
      </c>
    </row>
    <row r="7" ht="24" customHeight="1">
      <c r="B7" s="17" t="inlineStr">
        <is>
          <t>«Cumple»</t>
        </is>
      </c>
      <c r="C7" s="18">
        <f>COUNTIF('MI PLAN'!E6:E100,"Cumple")</f>
        <v/>
      </c>
      <c r="D7" s="19" t="inlineStr">
        <is>
          <t>Eficacia demostrada y sin recomendaciones.</t>
        </is>
      </c>
    </row>
    <row r="8" ht="24" customHeight="1">
      <c r="B8" s="17" t="inlineStr">
        <is>
          <t>«Cumple mayoritariamente»</t>
        </is>
      </c>
      <c r="C8" s="18">
        <f>COUNTIF('MI PLAN'!E6:E100,"Cumple mayoritariamente")</f>
        <v/>
      </c>
      <c r="D8" s="19" t="inlineStr">
        <is>
          <t>Lleva al menos una recomendación de mejora.</t>
        </is>
      </c>
    </row>
    <row r="9" ht="24" customHeight="1">
      <c r="B9" s="17" t="inlineStr">
        <is>
          <t>«Cumple parcialmente»</t>
        </is>
      </c>
      <c r="C9" s="18">
        <f>COUNTIF('MI PLAN'!E6:E100,"Cumple parcialmente")</f>
        <v/>
      </c>
      <c r="D9" s="19" t="inlineStr">
        <is>
          <t>Lleva hallazgo forzoso. Casi siempre es falta de evidencia.</t>
        </is>
      </c>
    </row>
    <row r="10" ht="24" customHeight="1">
      <c r="B10" s="17" t="inlineStr">
        <is>
          <t>«No cumple»</t>
        </is>
      </c>
      <c r="C10" s="18">
        <f>COUNTIF('MI PLAN'!E6:E100,"No cumple")</f>
        <v/>
      </c>
      <c r="D10" s="19" t="inlineStr">
        <is>
          <t>Puede actualizar una sanción.</t>
        </is>
      </c>
    </row>
    <row r="11" ht="24" customHeight="1">
      <c r="B11" s="17" t="inlineStr">
        <is>
          <t>«No aplica»</t>
        </is>
      </c>
      <c r="C11" s="18">
        <f>COUNTIF('MI PLAN'!E6:E100,"No aplica")</f>
        <v/>
      </c>
      <c r="D11" s="19" t="inlineStr">
        <is>
          <t>El auditor debe verificarlo. No es salida fácil.</t>
        </is>
      </c>
    </row>
    <row r="12" ht="24" customHeight="1">
      <c r="B12" s="20" t="inlineStr">
        <is>
          <t>SIN EVIDENCIA OBJETIVA</t>
        </is>
      </c>
      <c r="C12" s="21">
        <f>COUNTIF('MI PLAN'!F6:F100,"No")</f>
        <v/>
      </c>
      <c r="D12" s="22" t="inlineStr">
        <is>
          <t>El número que más importa: su techo de calificación.</t>
        </is>
      </c>
    </row>
    <row r="13" ht="24" customHeight="1">
      <c r="B13" s="20" t="inlineStr">
        <is>
          <t>Semáforos en ROJO</t>
        </is>
      </c>
      <c r="C13" s="21">
        <f>COUNTIF('MI PLAN'!J6:J100,"ROJO")</f>
        <v/>
      </c>
      <c r="D13" s="22" t="inlineStr">
        <is>
          <t>Lo que hay que atender primero.</t>
        </is>
      </c>
    </row>
    <row r="14" ht="24" customHeight="1">
      <c r="B14" s="17" t="inlineStr">
        <is>
          <t>Semáforos en ÁMBAR</t>
        </is>
      </c>
      <c r="C14" s="18">
        <f>COUNTIF('MI PLAN'!J6:J100,"ÁMBAR")</f>
        <v/>
      </c>
      <c r="D14" s="19" t="inlineStr">
        <is>
          <t>Lo que se arregla con evidencia, no con más trabajo.</t>
        </is>
      </c>
    </row>
    <row r="15" ht="24" customHeight="1">
      <c r="B15" s="17" t="inlineStr">
        <is>
          <t>Líneas sin responsable</t>
        </is>
      </c>
      <c r="C15" s="18">
        <f>SUMPRODUCT(('MI PLAN'!A6:A100&lt;&gt;"")*('MI PLAN'!H6:H100=""))</f>
        <v/>
      </c>
      <c r="D15" s="19" t="inlineStr">
        <is>
          <t>Sin nombre no es un plan.</t>
        </is>
      </c>
    </row>
    <row r="16" ht="24" customHeight="1">
      <c r="B16" s="17" t="inlineStr">
        <is>
          <t>Líneas sin fecha objetivo</t>
        </is>
      </c>
      <c r="C16" s="18">
        <f>SUMPRODUCT(('MI PLAN'!A6:A100&lt;&gt;"")*('MI PLAN'!I6:I100=""))</f>
        <v/>
      </c>
      <c r="D16" s="19" t="inlineStr">
        <is>
          <t>Sin fecha tampoco.</t>
        </is>
      </c>
    </row>
    <row r="18" ht="40" customHeight="1">
      <c r="B18" s="23" t="inlineStr">
        <is>
          <t>MI NÚMERO DE BRECHA</t>
        </is>
      </c>
      <c r="C18" s="24">
        <f>C13+C14</f>
        <v/>
      </c>
      <c r="D18" s="25" t="inlineStr">
        <is>
          <t>Obligaciones cuyo semáforo no está en verde: rojas más ámbar. Es lo que hoy no podría demostrarle a un auditor.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58" customWidth="1" min="2" max="2"/>
    <col width="30" customWidth="1" min="3" max="3"/>
    <col width="44" customWidth="1" min="4" max="4"/>
  </cols>
  <sheetData>
    <row r="1" ht="26" customHeight="1">
      <c r="A1" s="6" t="inlineStr">
        <is>
          <t>CALENDARIO DE EXIGIBILIDAD</t>
        </is>
      </c>
    </row>
    <row r="2" ht="16" customHeight="1">
      <c r="A2" s="7" t="inlineStr">
        <is>
          <t>Las columnas de su plan. Ninguna de estas fechas se cumple el mes anterior.</t>
        </is>
      </c>
    </row>
    <row r="4" ht="32" customHeight="1">
      <c r="A4" s="10" t="inlineStr">
        <is>
          <t>Fecha</t>
        </is>
      </c>
      <c r="B4" s="10" t="inlineStr">
        <is>
          <t>Qué se vuelve exigible</t>
        </is>
      </c>
      <c r="C4" s="10" t="inlineStr">
        <is>
          <t>Fundamento</t>
        </is>
      </c>
      <c r="D4" s="10" t="inlineStr">
        <is>
          <t>Nota</t>
        </is>
      </c>
    </row>
    <row r="5" ht="34" customHeight="1">
      <c r="A5" s="26" t="inlineStr">
        <is>
          <t>30 nov 2026</t>
        </is>
      </c>
      <c r="B5" s="12" t="inlineStr">
        <is>
          <t>Entra en vigor el ACUERDO 115/2026. Expediente e identificación bajo el texto nuevo</t>
        </is>
      </c>
      <c r="C5" s="27" t="inlineStr">
        <is>
          <t>RCG Trans. Primero</t>
        </is>
      </c>
      <c r="D5" s="28" t="inlineStr"/>
    </row>
    <row r="6" ht="34" customHeight="1">
      <c r="A6" s="29" t="inlineStr">
        <is>
          <t>1 feb 2027</t>
        </is>
      </c>
      <c r="B6" s="13" t="inlineStr">
        <is>
          <t>Formato nuevo de alta y registro. Baja y nueva alta para los supuestos del Transitorio Tercero</t>
        </is>
      </c>
      <c r="C6" s="30" t="inlineStr">
        <is>
          <t>Resolución DOF 24-sep-2026</t>
        </is>
      </c>
      <c r="D6" s="31" t="inlineStr">
        <is>
          <t>Las personas facilitadoras, hasta el 1 de junio de 2027</t>
        </is>
      </c>
    </row>
    <row r="7" ht="34" customHeight="1">
      <c r="A7" s="26" t="inlineStr">
        <is>
          <t>1 mar 2027</t>
        </is>
      </c>
      <c r="B7" s="12" t="inlineStr">
        <is>
          <t>Manual con la metodología · grado de riesgo y perfil transaccional · prelación del Beneficiario Controlador · evaluación con enfoque basado en Riesgo a disposición de la autoridad · selección de personal</t>
        </is>
      </c>
      <c r="C7" s="27" t="inlineStr">
        <is>
          <t>RCG Trans. Segundo a Sexto</t>
        </is>
      </c>
      <c r="D7" s="28" t="inlineStr"/>
    </row>
    <row r="8" ht="34" customHeight="1">
      <c r="A8" s="29" t="inlineStr">
        <is>
          <t>1 ene a 31 dic 2027</t>
        </is>
      </c>
      <c r="B8" s="13" t="inlineStr">
        <is>
          <t>Primer periodo anual de capacitación</t>
        </is>
      </c>
      <c r="C8" s="30" t="inlineStr">
        <is>
          <t>RCG Trans. Séptimo</t>
        </is>
      </c>
      <c r="D8" s="31" t="inlineStr">
        <is>
          <t>El Trans. Segundo del Decreto de 2025 diría 2026. Se aplica la Regla</t>
        </is>
      </c>
    </row>
    <row r="9" ht="34" customHeight="1">
      <c r="A9" s="26" t="inlineStr">
        <is>
          <t>1 jun 2027</t>
        </is>
      </c>
      <c r="B9" s="12" t="inlineStr">
        <is>
          <t>Mecanismos automatizados de monitoreo, con la información de los actos realizados a partir de esa fecha</t>
        </is>
      </c>
      <c r="C9" s="27" t="inlineStr">
        <is>
          <t>RCG Trans. Noveno</t>
        </is>
      </c>
      <c r="D9" s="28" t="inlineStr"/>
    </row>
    <row r="10" ht="34" customHeight="1">
      <c r="A10" s="29" t="inlineStr">
        <is>
          <t>1 jun 2027</t>
        </is>
      </c>
      <c r="B10" s="13" t="inlineStr">
        <is>
          <t>Todos los Avisos con los formatos nuevos — y aplica hacia atrás</t>
        </is>
      </c>
      <c r="C10" s="30" t="inlineStr">
        <is>
          <t>Resolución DOF 24-sep-2026</t>
        </is>
      </c>
      <c r="D10" s="31" t="inlineStr">
        <is>
          <t>El Aviso de mayo, que se presenta el 17 de junio, ya va así</t>
        </is>
      </c>
    </row>
    <row r="11" ht="34" customHeight="1">
      <c r="A11" s="26" t="inlineStr">
        <is>
          <t>30 jun 2027</t>
        </is>
      </c>
      <c r="B11" s="12" t="inlineStr">
        <is>
          <t>Último modificatorio que se puede presentar con el formato anterior</t>
        </is>
      </c>
      <c r="C11" s="27" t="inlineStr">
        <is>
          <t>Resolución DOF 24-sep-2026</t>
        </is>
      </c>
      <c r="D11" s="28" t="inlineStr"/>
    </row>
    <row r="12" ht="34" customHeight="1">
      <c r="A12" s="29" t="inlineStr">
        <is>
          <t>1 jul 2027</t>
        </is>
      </c>
      <c r="B12" s="13" t="inlineStr">
        <is>
          <t>Se retiran los formatos anteriores</t>
        </is>
      </c>
      <c r="C12" s="30" t="inlineStr">
        <is>
          <t>Resolución DOF 24-sep-2026</t>
        </is>
      </c>
      <c r="D12" s="31" t="inlineStr"/>
    </row>
    <row r="13" ht="34" customHeight="1">
      <c r="A13" s="26" t="inlineStr">
        <is>
          <t>1 ene a 31 dic 2028</t>
        </is>
      </c>
      <c r="B13" s="12" t="inlineStr">
        <is>
          <t>Primer periodo de revisión de auditoría</t>
        </is>
      </c>
      <c r="C13" s="27" t="inlineStr">
        <is>
          <t>RCG Trans. Octavo</t>
        </is>
      </c>
      <c r="D13" s="28" t="inlineStr">
        <is>
          <t>Literal en el texto</t>
        </is>
      </c>
    </row>
    <row r="14" ht="34" customHeight="1">
      <c r="A14" s="29" t="inlineStr">
        <is>
          <t>Último día hábil de marzo de 2029</t>
        </is>
      </c>
      <c r="B14" s="13" t="inlineStr">
        <is>
          <t>Entrega del primer dictamen, del auditor al auditado</t>
        </is>
      </c>
      <c r="C14" s="30" t="inlineStr">
        <is>
          <t>RCG 50</t>
        </is>
      </c>
      <c r="D14" s="31" t="inlineStr">
        <is>
          <t>FECHA DERIVADA: el RCG 50 no menciona ningún año</t>
        </is>
      </c>
    </row>
    <row r="16">
      <c r="A16" s="32" t="inlineStr">
        <is>
          <t>LA TENSIÓN QUE HAY QUE CONOCER</t>
        </is>
      </c>
    </row>
    <row r="17" ht="48" customHeight="1">
      <c r="A17" s="33" t="inlineStr">
        <is>
          <t>El Transitorio Segundo del Decreto DOF 16-07-2025 haría que el primer periodo de capacitación y de auditoría fuera 2026. Las Reglas dicen 2027 y 2028. El Transitorio Tercero del mismo Decreto es el puente: las obligaciones de las fracciones VII a XI del artículo 18 entran en vigor «en los plazos que para tal efecto establezcan las reglas de carácter general». Se aplica la Regla.</t>
        </is>
      </c>
    </row>
  </sheetData>
  <mergeCells count="1">
    <mergeCell ref="A17:D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76" customWidth="1" min="3" max="3"/>
  </cols>
  <sheetData>
    <row r="1" ht="26" customHeight="1">
      <c r="A1" s="6" t="inlineStr">
        <is>
          <t>FUNDAMENTOS Y COTEJO</t>
        </is>
      </c>
    </row>
    <row r="2" ht="16" customHeight="1">
      <c r="A2" s="7" t="inlineStr">
        <is>
          <t>Todo lo que afirma esta plantilla, con su artículo.</t>
        </is>
      </c>
    </row>
    <row r="4" ht="30" customHeight="1">
      <c r="A4" s="10" t="inlineStr">
        <is>
          <t>Tema</t>
        </is>
      </c>
      <c r="B4" s="10" t="inlineStr">
        <is>
          <t>Fundamento</t>
        </is>
      </c>
      <c r="C4" s="10" t="inlineStr">
        <is>
          <t>Qué dice</t>
        </is>
      </c>
    </row>
    <row r="5" ht="30" customHeight="1">
      <c r="A5" s="34" t="inlineStr">
        <is>
          <t>Las once obligaciones de quien realiza Actividades Vulnerables</t>
        </is>
      </c>
      <c r="B5" s="35" t="inlineStr">
        <is>
          <t>L 18</t>
        </is>
      </c>
      <c r="C5" s="36" t="inlineStr">
        <is>
          <t>Fracciones I a XI, más la IV Bis adicionada en 2025</t>
        </is>
      </c>
    </row>
    <row r="6" ht="30" customHeight="1">
      <c r="A6" s="37" t="inlineStr">
        <is>
          <t>Auditoría de efectividad: quién la hace</t>
        </is>
      </c>
      <c r="B6" s="38" t="inlineStr">
        <is>
          <t>L 18 fr. XI</t>
        </is>
      </c>
      <c r="C6" s="19" t="inlineStr">
        <is>
          <t>Interna o externa independiente si el riesgo es bajo o medio; sólo externa independiente si es alto</t>
        </is>
      </c>
    </row>
    <row r="7" ht="30" customHeight="1">
      <c r="A7" s="34" t="inlineStr">
        <is>
          <t>«En un año calendario»</t>
        </is>
      </c>
      <c r="B7" s="35" t="inlineStr">
        <is>
          <t>L 18 fr. XI + Trans. Segundo del Decreto DOF 16-07-2025</t>
        </is>
      </c>
      <c r="C7" s="36" t="inlineStr">
        <is>
          <t>La Ley no dice «anual»: el carácter anual viene del transitorio</t>
        </is>
      </c>
    </row>
    <row r="8" ht="30" customHeight="1">
      <c r="A8" s="37" t="inlineStr">
        <is>
          <t>Estructura obligatoria del dictamen</t>
        </is>
      </c>
      <c r="B8" s="38" t="inlineStr">
        <is>
          <t>RCG 47</t>
        </is>
      </c>
      <c r="C8" s="19" t="inlineStr">
        <is>
          <t>Siete secciones. La VI exige evaluación individualizada por obligación, con eficacia demostrable</t>
        </is>
      </c>
    </row>
    <row r="9" ht="30" customHeight="1">
      <c r="A9" s="34" t="inlineStr">
        <is>
          <t>Las cinco calificaciones</t>
        </is>
      </c>
      <c r="B9" s="35" t="inlineStr">
        <is>
          <t>RCG 48</t>
        </is>
      </c>
      <c r="C9" s="36" t="inlineStr">
        <is>
          <t>Cumple · Cumple mayoritariamente · Cumple parcialmente · No cumple · No aplica</t>
        </is>
      </c>
    </row>
    <row r="10" ht="30" customHeight="1">
      <c r="A10" s="37" t="inlineStr">
        <is>
          <t>La frontera entre «mayoritariamente» y «parcialmente»</t>
        </is>
      </c>
      <c r="B10" s="38" t="inlineStr">
        <is>
          <t>RCG 48 fr. II y III</t>
        </is>
      </c>
      <c r="C10" s="19" t="inlineStr">
        <is>
          <t>La evidencia objetiva. Sin ella el techo es «parcialmente», con hallazgo forzoso</t>
        </is>
      </c>
    </row>
    <row r="11" ht="30" customHeight="1">
      <c r="A11" s="34" t="inlineStr">
        <is>
          <t>Hallazgos con responsable, plazo y proyección de multas</t>
        </is>
      </c>
      <c r="B11" s="35" t="inlineStr">
        <is>
          <t>RCG 49</t>
        </is>
      </c>
      <c r="C11" s="36" t="inlineStr">
        <is>
          <t>Y el dictamen arrastra el seguimiento del año inmediato anterior</t>
        </is>
      </c>
    </row>
    <row r="12" ht="30" customHeight="1">
      <c r="A12" s="37" t="inlineStr">
        <is>
          <t>Conservación del dictamen y su soporte</t>
        </is>
      </c>
      <c r="B12" s="38" t="inlineStr">
        <is>
          <t>RCG 51</t>
        </is>
      </c>
      <c r="C12" s="19" t="inlineStr">
        <is>
          <t>No menor a cinco años, en poder del auditado, a disposición del SAT</t>
        </is>
      </c>
    </row>
    <row r="13" ht="30" customHeight="1">
      <c r="A13" s="34" t="inlineStr">
        <is>
          <t>El dictamen no se presenta al SAT</t>
        </is>
      </c>
      <c r="B13" s="35" t="inlineStr">
        <is>
          <t>RCG 50 · RCG 51 · R 12 Bis</t>
        </is>
      </c>
      <c r="C13" s="36" t="inlineStr">
        <is>
          <t>El auditor lo entrega al auditado; el auditado lo conserva y lo exhibe a requerimiento</t>
        </is>
      </c>
    </row>
    <row r="14" ht="30" customHeight="1">
      <c r="A14" s="37" t="inlineStr">
        <is>
          <t>Subsanación espontánea de lo detectado en el dictamen</t>
        </is>
      </c>
      <c r="B14" s="38" t="inlineStr">
        <is>
          <t>RCG 50, 3er párrafo</t>
        </is>
      </c>
      <c r="C14" s="19" t="inlineStr">
        <is>
          <t>Previo al inicio de la revisión del periodo siguiente</t>
        </is>
      </c>
    </row>
    <row r="15" ht="30" customHeight="1">
      <c r="A15" s="34" t="inlineStr">
        <is>
          <t>Verificación anual de expedientes</t>
        </is>
      </c>
      <c r="B15" s="35" t="inlineStr">
        <is>
          <t>RCG 21</t>
        </is>
      </c>
      <c r="C15" s="36" t="inlineStr">
        <is>
          <t>Al menos una vez al año, para clientes con Relación de negocios</t>
        </is>
      </c>
    </row>
    <row r="16" ht="30" customHeight="1">
      <c r="A16" s="37" t="inlineStr">
        <is>
          <t>Domicilio que usa la autoridad</t>
        </is>
      </c>
      <c r="B16" s="38" t="inlineStr">
        <is>
          <t>R 4 fr. III · RCG 7</t>
        </is>
      </c>
      <c r="C16" s="19" t="inlineStr">
        <is>
          <t>El del alta y registro como Actividad Vulnerable, no el del RFC</t>
        </is>
      </c>
    </row>
    <row r="17" ht="30" customHeight="1">
      <c r="A17" s="34" t="inlineStr">
        <is>
          <t>Alcance temporal de la verificación</t>
        </is>
      </c>
      <c r="B17" s="35" t="inlineStr">
        <is>
          <t>L 36</t>
        </is>
      </c>
      <c r="C17" s="36" t="inlineStr">
        <is>
          <t>Cinco años inmediatos anteriores al inicio de la visita</t>
        </is>
      </c>
    </row>
    <row r="18" ht="30" customHeight="1">
      <c r="A18" s="37" t="inlineStr">
        <is>
          <t>Conservación del expediente</t>
        </is>
      </c>
      <c r="B18" s="38" t="inlineStr">
        <is>
          <t>L 18 fr. IV, 2º párrafo</t>
        </is>
      </c>
      <c r="C18" s="19" t="inlineStr">
        <is>
          <t>Diez años, en el domicilio registrado ante la Secretaría</t>
        </is>
      </c>
    </row>
    <row r="19" ht="30" customHeight="1">
      <c r="A19" s="34" t="inlineStr">
        <is>
          <t>Régimen sancionatorio</t>
        </is>
      </c>
      <c r="B19" s="35" t="inlineStr">
        <is>
          <t>L 53 y L 54</t>
        </is>
      </c>
      <c r="C19" s="36" t="inlineStr">
        <is>
          <t>Tres escalones. El incumplimiento de cualquier obligación del 18 cae en 200 a 2,000 UMA</t>
        </is>
      </c>
    </row>
    <row r="20" ht="30" customHeight="1">
      <c r="A20" s="37" t="inlineStr">
        <is>
          <t>Reconocimiento expreso (autocorrección)</t>
        </is>
      </c>
      <c r="B20" s="38" t="inlineStr">
        <is>
          <t>L 55 + R 55 Bis</t>
        </is>
      </c>
      <c r="C20" s="19" t="inlineStr">
        <is>
          <t>La palabra «autorregularización» no aparece en el texto. El 55 Bis está en el Reglamento, no en la Ley</t>
        </is>
      </c>
    </row>
    <row r="21" ht="30" customHeight="1">
      <c r="A21" s="34" t="inlineStr">
        <is>
          <t>Medios de defensa</t>
        </is>
      </c>
      <c r="B21" s="35" t="inlineStr">
        <is>
          <t>L 61</t>
        </is>
      </c>
      <c r="C21" s="36" t="inlineStr">
        <is>
          <t>Recurso de revisión ante la Secretaría o directamente ante el TFJA. Sin prelación</t>
        </is>
      </c>
    </row>
    <row r="23" ht="34" customHeight="1">
      <c r="A23" s="39" t="inlineStr">
        <is>
          <t>Cotejo: Ley con última reforma DOF 16-07-2025 · Reglamento con reforma DOF 27-03-2026 · Reglas con el ACUERDO 115/2026, DOF 07-08-2026. La Ley Federal de Procedimiento Administrativo y el Código Penal Federal NO forman parte de las fuentes cotejadas de este curso–taller.</t>
        </is>
      </c>
    </row>
  </sheetData>
  <mergeCells count="1">
    <mergeCell ref="A23:C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2026-10-02T18:22:12Z</dcterms:created>
  <dcterms:modified xmlns:dcterms="http://purl.org/dc/terms/" xmlns:xsi="http://www.w3.org/2001/XMLSchema-instance" xsi:type="dcterms:W3CDTF">2026-10-02T18:22:12Z</dcterms:modified>
</cp:coreProperties>
</file>