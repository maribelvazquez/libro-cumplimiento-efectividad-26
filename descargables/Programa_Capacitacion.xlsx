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ómo se usa" sheetId="1" state="visible" r:id="rId1"/>
    <sheet xmlns:r="http://schemas.openxmlformats.org/officeDocument/2006/relationships" name="Personal obligado" sheetId="2" state="visible" r:id="rId2"/>
    <sheet xmlns:r="http://schemas.openxmlformats.org/officeDocument/2006/relationships" name="Programa anual" sheetId="3" state="visible" r:id="rId3"/>
    <sheet xmlns:r="http://schemas.openxmlformats.org/officeDocument/2006/relationships" name="Evidencia 10 años" sheetId="4" state="visible" r:id="rId4"/>
    <sheet xmlns:r="http://schemas.openxmlformats.org/officeDocument/2006/relationships" name="Constancias y evaluaciones" sheetId="5" state="visible" r:id="rId5"/>
    <sheet xmlns:r="http://schemas.openxmlformats.org/officeDocument/2006/relationships" name="Selección de personal" sheetId="6" state="visible" r:id="rId6"/>
    <sheet xmlns:r="http://schemas.openxmlformats.org/officeDocument/2006/relationships" name="Calendario 2027" sheetId="7" state="visible" r:id="rId7"/>
    <sheet xmlns:r="http://schemas.openxmlformats.org/officeDocument/2006/relationships" name="Constancia y difusión" sheetId="8" state="visible" r:id="rId8"/>
  </sheets>
  <definedNames>
    <definedName name="_xlnm.Print_Titles" localSheetId="1">'Personal obligado'!$6:$6</definedName>
    <definedName name="_xlnm.Print_Titles" localSheetId="2">'Programa anual'!$8:$8</definedName>
    <definedName name="_xlnm.Print_Area" localSheetId="2">'Programa anual'!$A$1:$L$25</definedName>
    <definedName name="_xlnm.Print_Titles" localSheetId="3">'Evidencia 10 años'!$5:$5</definedName>
    <definedName name="_xlnm.Print_Titles" localSheetId="4">'Constancias y evaluaciones'!$7:$7</definedName>
    <definedName name="_xlnm.Print_Titles" localSheetId="6">'Calendario 2027'!$5:$5</definedName>
  </definedNames>
  <calcPr calcId="124519" fullCalcOnLoad="1"/>
</workbook>
</file>

<file path=xl/styles.xml><?xml version="1.0" encoding="utf-8"?>
<styleSheet xmlns="http://schemas.openxmlformats.org/spreadsheetml/2006/main">
  <numFmts count="1">
    <numFmt numFmtId="164" formatCode="DD/MM/YYYY"/>
  </numFmts>
  <fonts count="22">
    <font>
      <name val="Calibri"/>
      <family val="2"/>
      <color theme="1"/>
      <sz val="11"/>
      <scheme val="minor"/>
    </font>
    <font>
      <name val="Arial"/>
      <b val="1"/>
      <color rgb="0012224A"/>
      <sz val="16"/>
    </font>
    <font>
      <name val="Arial"/>
      <i val="1"/>
      <color rgb="004A5568"/>
      <sz val="10"/>
    </font>
    <font>
      <name val="Arial"/>
      <b val="1"/>
      <color rgb="0012224A"/>
      <sz val="9"/>
    </font>
    <font>
      <name val="Arial"/>
      <b val="1"/>
      <color rgb="00FFFFFF"/>
      <sz val="10"/>
    </font>
    <font>
      <name val="Arial"/>
      <sz val="10"/>
    </font>
    <font>
      <name val="Arial"/>
      <b val="1"/>
      <color rgb="0012224A"/>
      <sz val="11"/>
    </font>
    <font>
      <name val="Arial"/>
      <b val="1"/>
      <sz val="10"/>
    </font>
    <font>
      <name val="Arial"/>
      <color rgb="004A5568"/>
      <sz val="9"/>
    </font>
    <font>
      <name val="Arial"/>
      <b val="1"/>
      <color rgb="0012224A"/>
      <sz val="14"/>
    </font>
    <font>
      <name val="Arial"/>
      <i val="1"/>
      <color rgb="007A6A45"/>
      <sz val="10"/>
    </font>
    <font>
      <name val="Arial"/>
      <b val="1"/>
      <color rgb="0012224A"/>
      <sz val="10"/>
    </font>
    <font>
      <name val="Arial"/>
      <b val="1"/>
      <color rgb="00FFFFFF"/>
      <sz val="9"/>
    </font>
    <font>
      <name val="Arial"/>
      <b val="1"/>
      <color rgb="0012224A"/>
      <sz val="12"/>
    </font>
    <font>
      <name val="Arial"/>
      <b val="1"/>
      <color rgb="00FFFFFF"/>
      <sz val="11"/>
    </font>
    <font>
      <name val="Calibri"/>
      <b val="1"/>
      <color rgb="0012224A"/>
      <sz val="15"/>
    </font>
    <font>
      <name val="Calibri"/>
      <i val="1"/>
      <color rgb="005A6472"/>
      <sz val="10"/>
    </font>
    <font>
      <name val="Calibri"/>
      <b val="1"/>
      <color rgb="0012224A"/>
      <sz val="13"/>
    </font>
    <font>
      <name val="Calibri"/>
      <b val="1"/>
      <color rgb="00FFFFFF"/>
      <sz val="10"/>
    </font>
    <font>
      <name val="Calibri"/>
      <color rgb="001B2430"/>
      <sz val="10"/>
    </font>
    <font>
      <name val="Calibri"/>
      <color rgb="008A5A12"/>
      <sz val="10"/>
    </font>
    <font>
      <name val="Calibri"/>
      <b val="1"/>
      <color rgb="008A5A12"/>
      <sz val="10"/>
    </font>
  </fonts>
  <fills count="10">
    <fill>
      <patternFill/>
    </fill>
    <fill>
      <patternFill patternType="gray125"/>
    </fill>
    <fill>
      <patternFill patternType="solid">
        <fgColor rgb="0012224A"/>
      </patternFill>
    </fill>
    <fill>
      <patternFill patternType="solid">
        <fgColor rgb="00FFFFFF"/>
      </patternFill>
    </fill>
    <fill>
      <patternFill patternType="solid">
        <fgColor rgb="00FDF0DA"/>
      </patternFill>
    </fill>
    <fill>
      <patternFill patternType="solid">
        <fgColor rgb="00F2A541"/>
      </patternFill>
    </fill>
    <fill>
      <patternFill patternType="solid">
        <fgColor rgb="00F2F4F8"/>
      </patternFill>
    </fill>
    <fill>
      <patternFill patternType="solid">
        <fgColor rgb="00FDF3E3"/>
      </patternFill>
    </fill>
    <fill>
      <patternFill patternType="solid">
        <fgColor rgb="00E8F4EC"/>
      </patternFill>
    </fill>
    <fill>
      <patternFill patternType="solid">
        <fgColor rgb="00FDECEA"/>
      </patternFill>
    </fill>
  </fills>
  <borders count="15">
    <border>
      <left/>
      <right/>
      <top/>
      <bottom/>
      <diagonal/>
    </border>
    <border>
      <left style="thin">
        <color rgb="00C9CFDB"/>
      </left>
      <right style="thin">
        <color rgb="00C9CFDB"/>
      </right>
      <top style="thin">
        <color rgb="00C9CFDB"/>
      </top>
      <bottom style="thin">
        <color rgb="00C9CFDB"/>
      </bottom>
    </border>
    <border>
      <left/>
      <right/>
      <top style="thin">
        <color rgb="00C9CFDB"/>
      </top>
      <bottom/>
      <diagonal/>
    </border>
    <border>
      <left/>
      <right style="thin">
        <color rgb="00C9CFDB"/>
      </right>
      <top style="thin">
        <color rgb="00C9CFDB"/>
      </top>
      <bottom/>
      <diagonal/>
    </border>
    <border>
      <left/>
      <right style="thin">
        <color rgb="00C9CFDB"/>
      </right>
      <top style="thin">
        <color rgb="00C9CFDB"/>
      </top>
      <bottom style="thin">
        <color rgb="00C9CFDB"/>
      </bottom>
      <diagonal/>
    </border>
    <border>
      <left/>
      <right/>
      <top style="thin">
        <color rgb="00C9CFDB"/>
      </top>
      <bottom style="thin">
        <color rgb="00C9CFDB"/>
      </bottom>
      <diagonal/>
    </border>
    <border>
      <left style="thin">
        <color rgb="00C9CFDB"/>
      </left>
      <right/>
      <top/>
      <bottom/>
      <diagonal/>
    </border>
    <border>
      <left style="thin">
        <color rgb="00C9CFDB"/>
      </left>
      <right style="thin">
        <color rgb="00C9CFDB"/>
      </right>
      <top/>
      <bottom/>
      <diagonal/>
    </border>
    <border>
      <left style="thin">
        <color rgb="00C9CFDB"/>
      </left>
      <right style="thin">
        <color rgb="00C9CFDB"/>
      </right>
      <top/>
      <bottom style="thin">
        <color rgb="00C9CFDB"/>
      </bottom>
      <diagonal/>
    </border>
    <border>
      <left style="thin">
        <color rgb="00E4E8EE"/>
      </left>
      <right style="thin">
        <color rgb="00E4E8EE"/>
      </right>
      <top style="thin">
        <color rgb="00E4E8EE"/>
      </top>
      <bottom style="thin">
        <color rgb="00E4E8EE"/>
      </bottom>
    </border>
    <border>
      <left/>
      <right/>
      <top style="thin">
        <color rgb="00E4E8EE"/>
      </top>
      <bottom/>
      <diagonal/>
    </border>
    <border>
      <left/>
      <right style="thin">
        <color rgb="00E4E8EE"/>
      </right>
      <top style="thin">
        <color rgb="00E4E8EE"/>
      </top>
      <bottom/>
      <diagonal/>
    </border>
    <border>
      <left/>
      <right/>
      <top style="thin">
        <color rgb="00E4E8EE"/>
      </top>
      <bottom style="thin">
        <color rgb="00E4E8EE"/>
      </bottom>
      <diagonal/>
    </border>
    <border>
      <left/>
      <right style="thin">
        <color rgb="00E4E8EE"/>
      </right>
      <top style="thin">
        <color rgb="00E4E8EE"/>
      </top>
      <bottom style="thin">
        <color rgb="00E4E8EE"/>
      </bottom>
      <diagonal/>
    </border>
    <border/>
  </borders>
  <cellStyleXfs count="1">
    <xf numFmtId="0" fontId="0" fillId="0" borderId="0"/>
  </cellStyleXfs>
  <cellXfs count="6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3" borderId="1" applyAlignment="1" pivotButton="0" quotePrefix="0" xfId="0">
      <alignment vertical="top" wrapText="1"/>
    </xf>
    <xf numFmtId="0" fontId="3"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4" borderId="1" applyAlignment="1" pivotButton="0" quotePrefix="0" xfId="0">
      <alignment vertical="top" wrapText="1"/>
    </xf>
    <xf numFmtId="0" fontId="3" fillId="5" borderId="1" applyAlignment="1" pivotButton="0" quotePrefix="0" xfId="0">
      <alignment horizontal="center" vertical="center" wrapText="1"/>
    </xf>
    <xf numFmtId="0" fontId="8" fillId="0" borderId="0" applyAlignment="1" pivotButton="0" quotePrefix="0" xfId="0">
      <alignment vertical="top" wrapText="1"/>
    </xf>
    <xf numFmtId="0" fontId="9" fillId="0" borderId="0" pivotButton="0" quotePrefix="0" xfId="0"/>
    <xf numFmtId="0" fontId="2" fillId="0" borderId="0" applyAlignment="1" pivotButton="0" quotePrefix="0" xfId="0">
      <alignment vertical="top" wrapText="1"/>
    </xf>
    <xf numFmtId="0" fontId="7" fillId="0" borderId="0" pivotButton="0" quotePrefix="0" xfId="0"/>
    <xf numFmtId="0" fontId="9" fillId="5" borderId="1" applyAlignment="1" pivotButton="0" quotePrefix="0" xfId="0">
      <alignment horizontal="center" vertical="center"/>
    </xf>
    <xf numFmtId="0" fontId="4" fillId="2" borderId="1" applyAlignment="1" pivotButton="0" quotePrefix="0" xfId="0">
      <alignment horizontal="center" vertical="center" wrapText="1"/>
    </xf>
    <xf numFmtId="0" fontId="10" fillId="6" borderId="1" applyAlignment="1" pivotButton="0" quotePrefix="0" xfId="0">
      <alignment vertical="top" wrapText="1"/>
    </xf>
    <xf numFmtId="0" fontId="10" fillId="6" borderId="1" applyAlignment="1" pivotButton="0" quotePrefix="0" xfId="0">
      <alignment horizontal="center" vertical="center" wrapText="1"/>
    </xf>
    <xf numFmtId="0" fontId="11" fillId="6" borderId="1" applyAlignment="1" pivotButton="0" quotePrefix="0" xfId="0">
      <alignment horizontal="center" vertical="center" wrapText="1"/>
    </xf>
    <xf numFmtId="164" fontId="10" fillId="6" borderId="1" applyAlignment="1" pivotButton="0" quotePrefix="0" xfId="0">
      <alignment horizontal="center" vertical="center" wrapText="1"/>
    </xf>
    <xf numFmtId="0" fontId="5" fillId="0" borderId="1" applyAlignment="1" pivotButton="0" quotePrefix="0" xfId="0">
      <alignment vertical="top" wrapText="1"/>
    </xf>
    <xf numFmtId="0" fontId="5" fillId="4" borderId="1" applyAlignment="1" pivotButton="0" quotePrefix="0" xfId="0">
      <alignment horizontal="center" vertical="center" wrapText="1"/>
    </xf>
    <xf numFmtId="0" fontId="11" fillId="4" borderId="1" applyAlignment="1" pivotButton="0" quotePrefix="0" xfId="0">
      <alignment horizontal="center" vertical="center" wrapText="1"/>
    </xf>
    <xf numFmtId="164" fontId="5" fillId="4" borderId="1" applyAlignment="1" pivotButton="0" quotePrefix="0" xfId="0">
      <alignment horizontal="center" vertical="center" wrapText="1"/>
    </xf>
    <xf numFmtId="0" fontId="12" fillId="2" borderId="1" applyAlignment="1" pivotButton="0" quotePrefix="0" xfId="0">
      <alignment horizontal="center" vertical="center" wrapText="1"/>
    </xf>
    <xf numFmtId="0" fontId="0" fillId="0" borderId="4" pivotButton="0" quotePrefix="0" xfId="0"/>
    <xf numFmtId="0" fontId="6" fillId="4" borderId="1" applyAlignment="1" pivotButton="0" quotePrefix="0" xfId="0">
      <alignment horizontal="center" vertical="center"/>
    </xf>
    <xf numFmtId="0" fontId="12" fillId="2" borderId="0" applyAlignment="1" pivotButton="0" quotePrefix="0" xfId="0">
      <alignment horizontal="center" vertical="center" wrapText="1"/>
    </xf>
    <xf numFmtId="0" fontId="8" fillId="0" borderId="1" applyAlignment="1" pivotButton="0" quotePrefix="0" xfId="0">
      <alignment vertical="top" wrapText="1"/>
    </xf>
    <xf numFmtId="0" fontId="5" fillId="0" borderId="1" applyAlignment="1" pivotButton="0" quotePrefix="0" xfId="0">
      <alignment horizontal="center" vertical="center" wrapText="1"/>
    </xf>
    <xf numFmtId="0" fontId="5" fillId="4" borderId="1" applyAlignment="1" pivotButton="0" quotePrefix="0" xfId="0">
      <alignment vertical="top" wrapText="1"/>
    </xf>
    <xf numFmtId="0" fontId="7" fillId="0" borderId="1" applyAlignment="1" pivotButton="0" quotePrefix="0" xfId="0">
      <alignment vertical="top" wrapText="1"/>
    </xf>
    <xf numFmtId="0" fontId="5" fillId="4" borderId="1" applyAlignment="1" pivotButton="0" quotePrefix="0" xfId="0">
      <alignment horizontal="center" vertical="center"/>
    </xf>
    <xf numFmtId="164" fontId="5" fillId="4" borderId="1" applyAlignment="1" pivotButton="0" quotePrefix="0" xfId="0">
      <alignment horizontal="center" vertical="center"/>
    </xf>
    <xf numFmtId="164" fontId="11" fillId="4" borderId="1" applyAlignment="1" pivotButton="0" quotePrefix="0" xfId="0">
      <alignment horizontal="center" vertical="center"/>
    </xf>
    <xf numFmtId="0" fontId="11" fillId="5" borderId="1" applyAlignment="1" pivotButton="0" quotePrefix="0" xfId="0">
      <alignment vertical="top" wrapText="1"/>
    </xf>
    <xf numFmtId="0" fontId="0" fillId="0" borderId="5" pivotButton="0" quotePrefix="0" xfId="0"/>
    <xf numFmtId="0" fontId="7" fillId="0" borderId="0" applyAlignment="1" pivotButton="0" quotePrefix="0" xfId="0">
      <alignment horizontal="right" vertical="center"/>
    </xf>
    <xf numFmtId="0" fontId="13" fillId="5" borderId="1" applyAlignment="1" pivotButton="0" quotePrefix="0" xfId="0">
      <alignment horizontal="center" vertical="center"/>
    </xf>
    <xf numFmtId="0" fontId="11" fillId="4" borderId="1" applyAlignment="1" pivotButton="0" quotePrefix="0" xfId="0">
      <alignment horizontal="center" vertical="center"/>
    </xf>
    <xf numFmtId="0" fontId="6" fillId="0" borderId="0" pivotButton="0" quotePrefix="0" xfId="0"/>
    <xf numFmtId="0" fontId="14" fillId="2" borderId="1" applyAlignment="1" pivotButton="0" quotePrefix="0" xfId="0">
      <alignment horizontal="center" vertical="center" wrapText="1"/>
    </xf>
    <xf numFmtId="0" fontId="7" fillId="5" borderId="1" applyAlignment="1" pivotButton="0" quotePrefix="0" xfId="0">
      <alignment vertical="top" wrapText="1"/>
    </xf>
    <xf numFmtId="0" fontId="3" fillId="0" borderId="1" applyAlignment="1" pivotButton="0" quotePrefix="0" xfId="0">
      <alignment horizontal="center" vertical="center" wrapText="1"/>
    </xf>
    <xf numFmtId="0" fontId="0" fillId="0" borderId="7" pivotButton="0" quotePrefix="0" xfId="0"/>
    <xf numFmtId="0" fontId="0" fillId="0" borderId="8" pivotButton="0" quotePrefix="0" xfId="0"/>
    <xf numFmtId="164" fontId="10" fillId="6" borderId="1" applyAlignment="1" pivotButton="0" quotePrefix="0" xfId="0">
      <alignment horizontal="center" vertical="center" wrapText="1"/>
    </xf>
    <xf numFmtId="164" fontId="5" fillId="4" borderId="1" applyAlignment="1" pivotButton="0" quotePrefix="0" xfId="0">
      <alignment horizontal="center" vertical="center" wrapText="1"/>
    </xf>
    <xf numFmtId="164" fontId="5" fillId="4" borderId="1" applyAlignment="1" pivotButton="0" quotePrefix="0" xfId="0">
      <alignment horizontal="center" vertical="center"/>
    </xf>
    <xf numFmtId="164" fontId="11" fillId="4" borderId="1" applyAlignment="1" pivotButton="0" quotePrefix="0" xfId="0">
      <alignment horizontal="center" vertical="center"/>
    </xf>
    <xf numFmtId="0" fontId="15" fillId="0" borderId="0" pivotButton="0" quotePrefix="0" xfId="0"/>
    <xf numFmtId="0" fontId="16" fillId="0" borderId="0" pivotButton="0" quotePrefix="0" xfId="0"/>
    <xf numFmtId="0" fontId="17" fillId="0" borderId="0" pivotButton="0" quotePrefix="0" xfId="0"/>
    <xf numFmtId="0" fontId="18" fillId="2" borderId="9" applyAlignment="1" pivotButton="0" quotePrefix="0" xfId="0">
      <alignment vertical="center" wrapText="1"/>
    </xf>
    <xf numFmtId="0" fontId="19" fillId="0" borderId="9" applyAlignment="1" pivotButton="0" quotePrefix="0" xfId="0">
      <alignment vertical="top" wrapText="1"/>
    </xf>
    <xf numFmtId="0" fontId="20" fillId="7" borderId="9" applyAlignment="1" pivotButton="0" quotePrefix="0" xfId="0">
      <alignment vertical="center" wrapText="1"/>
    </xf>
    <xf numFmtId="0" fontId="20" fillId="8" borderId="9" applyAlignment="1" pivotButton="0" quotePrefix="0" xfId="0">
      <alignment vertical="center" wrapText="1"/>
    </xf>
    <xf numFmtId="0" fontId="19" fillId="9" borderId="9" applyAlignment="1" pivotButton="0" quotePrefix="0" xfId="0">
      <alignment vertical="top" wrapText="1"/>
    </xf>
    <xf numFmtId="0" fontId="0" fillId="0" borderId="12" pivotButton="0" quotePrefix="0" xfId="0"/>
    <xf numFmtId="0" fontId="0" fillId="0" borderId="13" pivotButton="0" quotePrefix="0" xfId="0"/>
    <xf numFmtId="0" fontId="17" fillId="0" borderId="14" pivotButton="0" quotePrefix="0" xfId="0"/>
    <xf numFmtId="0" fontId="0" fillId="0" borderId="14" pivotButton="0" quotePrefix="0" xfId="0"/>
    <xf numFmtId="0" fontId="16" fillId="0" borderId="14" pivotButton="0" quotePrefix="0" xfId="0"/>
    <xf numFmtId="0" fontId="19" fillId="8" borderId="9" applyAlignment="1" pivotButton="0" quotePrefix="0" xfId="0">
      <alignment vertical="top" wrapText="1"/>
    </xf>
    <xf numFmtId="0" fontId="21" fillId="7" borderId="9" applyAlignment="1" pivotButton="0" quotePrefix="0" xfId="0">
      <alignment vertical="center" wrapText="1"/>
    </xf>
  </cellXfs>
  <cellStyles count="1">
    <cellStyle name="Normal" xfId="0" builtinId="0" hidden="0"/>
  </cellStyles>
  <dxfs count="4">
    <dxf>
      <font>
        <name val="Arial"/>
        <b val="1"/>
        <color rgb="0012224A"/>
        <sz val="10"/>
      </font>
      <fill>
        <patternFill patternType="solid">
          <fgColor rgb="00F2A541"/>
        </patternFill>
      </fill>
    </dxf>
    <dxf>
      <font>
        <name val="Arial"/>
        <b val="1"/>
        <color rgb="008C1D1D"/>
        <sz val="11"/>
      </font>
      <fill>
        <patternFill patternType="solid">
          <fgColor rgb="00F6C6C6"/>
        </patternFill>
      </fill>
    </dxf>
    <dxf>
      <font>
        <name val="Arial"/>
        <b val="1"/>
        <color rgb="001E5B2A"/>
        <sz val="11"/>
      </font>
      <fill>
        <patternFill patternType="solid">
          <fgColor rgb="00D6EBD6"/>
        </patternFill>
      </fill>
    </dxf>
    <dxf>
      <font>
        <name val="Arial"/>
        <b val="1"/>
        <color rgb="008C1D1D"/>
        <sz val="10"/>
      </font>
      <fill>
        <patternFill patternType="solid">
          <fgColor rgb="00F6C6C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1:D13"/>
  <sheetViews>
    <sheetView showGridLines="0" workbookViewId="0">
      <pane ySplit="4" topLeftCell="A5" activePane="bottomLeft" state="frozen"/>
      <selection pane="bottomLeft" activeCell="A1" sqref="A1"/>
    </sheetView>
  </sheetViews>
  <sheetFormatPr baseColWidth="8" defaultRowHeight="15"/>
  <cols>
    <col width="3" customWidth="1" min="1" max="1"/>
    <col width="34" customWidth="1" min="2" max="2"/>
    <col width="96" customWidth="1" min="3" max="3"/>
    <col width="26" customWidth="1" min="4" max="4"/>
  </cols>
  <sheetData>
    <row r="1" ht="26" customHeight="1">
      <c r="B1" s="1" t="inlineStr">
        <is>
          <t>PROGRAMA ANUAL DE CAPACITACIÓN Y SELECCIÓN DE PERSONAL</t>
        </is>
      </c>
    </row>
    <row r="2">
      <c r="B2" s="2" t="inlineStr">
        <is>
          <t>Herramienta de trabajo · Actividades Vulnerables LFPIORPI · 360educa</t>
        </is>
      </c>
    </row>
    <row r="3">
      <c r="B3" s="3" t="inlineStr">
        <is>
          <t>Fundamento general: L 18 fr. IX · RCG 39 · RCG 39 Bis · RCG 39 Bis 1 · RCG 39 Bis 2 · L 20 párr. 3 · CPF 400 Bis</t>
        </is>
      </c>
    </row>
    <row r="4" ht="6" customHeight="1"/>
    <row r="5" ht="84" customHeight="1">
      <c r="B5" s="4" t="inlineStr">
        <is>
          <t>PARA QUÉ SIRVE</t>
        </is>
      </c>
      <c r="C5" s="5" t="inlineStr">
        <is>
          <t>Este archivo convierte en tablero de control lo que la norma le exige documentar sobre capacitación y selección de personal. No es un formato oficial ni un formato que se presente ante la autoridad: es su evidencia interna, la que le van a pedir cuando le requieran el expediente. Sirve igual para un despacho de tres personas que para una empresa de 200: las hojas se llenan con los renglones que usted tenga, no con los que traiga el formato.</t>
        </is>
      </c>
      <c r="D5" s="6" t="inlineStr">
        <is>
          <t>L 18 fr. IX</t>
        </is>
      </c>
    </row>
    <row r="6" ht="112" customHeight="1">
      <c r="B6" s="4" t="inlineStr">
        <is>
          <t>EN QUÉ ORDEN SE LLENA</t>
        </is>
      </c>
      <c r="C6" s="5" t="inlineStr">
        <is>
          <t>1) «Personal obligado»: liste a su gente y deje que el archivo decida quién entra al programa.
2) «Programa anual»: arme la malla del año sobre las personas que salieron obligadas.
3) «Evidencia 10 años»: los siete documentos que hay que conservar.
4) «Constancias y evaluaciones»: el control persona por persona y curso por curso.
5) «Selección de personal»: la declaración firmada y su control.
6) «Calendario 2027»: baje el programa a meses.</t>
        </is>
      </c>
      <c r="D6" s="6" t="inlineStr">
        <is>
          <t>RCG 39 Bis</t>
        </is>
      </c>
    </row>
    <row r="7" ht="140" customHeight="1">
      <c r="B7" s="4" t="inlineStr">
        <is>
          <t>QUÉ SE HACE EN LA SESIÓN (20 minutos)</t>
        </is>
      </c>
      <c r="C7" s="5" t="inlineStr">
        <is>
          <t>En vivo se trabajan SOLO las hojas 2 y 3.
· Hoja 2 «Personal obligado»: escriba los nombres reales de su organización y marque Sí/No en cada columna. La columna «¿Obligado?» se calcula sola —es el reparto textual del primer párrafo del RCG 39 Bis— y el contador de arriba le dice cuánta gente entra a su programa. Si usted es persona física sin empleados, escriba su propio nombre: el programa anual sigue siendo obligatorio para usted.
· Hoja 3 «Programa anual»: revise los cinco renglones precargados —cubren los cuatro incisos del contenido mínimo y la fracción II— y ajuste fechas, modalidad y quién imparte. Mire el semáforo: si alguna celda dice FALTA, ese contenido mínimo no está en su malla.</t>
        </is>
      </c>
      <c r="D7" s="6" t="inlineStr">
        <is>
          <t>RCG 39 Bis fr. I</t>
        </is>
      </c>
    </row>
    <row r="8" ht="154" customHeight="1">
      <c r="B8" s="4" t="inlineStr">
        <is>
          <t>QUÉ SE TERMINA EN LA SEMANA</t>
        </is>
      </c>
      <c r="C8" s="5" t="inlineStr">
        <is>
          <t>· Hoja 4: localice físicamente dónde vive cada documento y nombre a un responsable de resguardo.
· Hoja 5: cargue el histórico de cursos que ya impartió este año, con calificaciones y folios.
· Hoja 6: pase la declaración a papel membretado, recábela firmada y archívela.
· Hoja 7: reparta los cursos del programa entre los doce meses de 2027.
Y lo que no se resuelve en este archivo: los temas de su capacitación deben ser coherentes con los resultados de la metodología de riesgos de su Manual, y adecuarse a las responsabilidades de cada quien. Es el mismo requisito de coherencia que ya vio en matriz y en Manual, aplicado por tercera vez.</t>
        </is>
      </c>
      <c r="D8" s="6" t="inlineStr">
        <is>
          <t>RCG 39 Bis fr. I, último párrafo</t>
        </is>
      </c>
    </row>
    <row r="9" ht="84" customHeight="1">
      <c r="B9" s="4" t="inlineStr">
        <is>
          <t>CÓDIGO DE COLOR</t>
        </is>
      </c>
      <c r="C9" s="5" t="inlineStr">
        <is>
          <t>Azul marino: encabezados y texto que le da la norma, no se toca.
Ámbar: celda que usted debe llenar, o dato que el archivo quiere que mire.
Gris con la palabra EJEMPLO: renglón de muestra, bórrelo cuando cargue lo suyo.
Columnas con fórmula (¿Obligado?, ¿Requiere capacitación previa?, semáforo de cobertura, fecha de destrucción, ¿Aprobó?): no escriba encima, se calculan solas.</t>
        </is>
      </c>
      <c r="D9" s="6" t="inlineStr"/>
    </row>
    <row r="11" ht="86" customHeight="1">
      <c r="B11" s="7" t="inlineStr">
        <is>
          <t>ADVERTENCIA — LOS DIEZ AÑOS</t>
        </is>
      </c>
      <c r="C11" s="8" t="inlineStr">
        <is>
          <t>Toda la evidencia de este archivo se conserva DIEZ AÑOS, en forma física o electrónica: programas, talleres, materiales, listas de asistencia, evaluaciones, constancias y cualquier otro documento que compruebe que la capacitación se llevó a cabo. El archivo le calcula la fecha exacta de destrucción en la hoja «Evidencia 10 años». Antes de esa fecha, nada se tira. Y no se expide constancia sin haber practicado antes la evaluación.</t>
        </is>
      </c>
      <c r="D11" s="9" t="inlineStr">
        <is>
          <t>RCG 39 Bis 1</t>
        </is>
      </c>
    </row>
    <row r="13" ht="34" customHeight="1">
      <c r="B13" s="10" t="inlineStr">
        <is>
          <t>Incumplir cualquiera de las obligaciones del L 18 —y la fr. IX es capacitación y selección— se sanciona con multa de 200 a 2,000 veces el valor diario de la UMA (L 53 fr. II · L 54 fr. I). Con UMA diaria 2026 de $117.31: de $23,462 a $234,620. Es multa por obligación, no por operación.</t>
        </is>
      </c>
    </row>
  </sheetData>
  <mergeCells count="4">
    <mergeCell ref="B13:D13"/>
    <mergeCell ref="B1:D1"/>
    <mergeCell ref="B2:D2"/>
    <mergeCell ref="B3:D3"/>
  </mergeCells>
  <printOptions horizontalCentered="1"/>
  <pageMargins left="0.4" right="0.4" top="0.5" bottom="0.5" header="0.5" footer="0.5"/>
  <pageSetup orientation="portrait" paperSize="1" fitToHeight="0" fitToWidth="1"/>
  <headerFooter>
    <oddHeader/>
    <oddFooter>&amp;L&amp;8 S03_ALU_04 · Programa de capacitación · LFPIORPI&amp;R&amp;8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N36"/>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4" customWidth="1" min="2" max="2"/>
    <col width="18" customWidth="1" min="3" max="3"/>
    <col width="15" customWidth="1" min="4" max="4"/>
    <col width="12" customWidth="1" min="5" max="5"/>
    <col width="13" customWidth="1" min="6" max="6"/>
    <col width="18" customWidth="1" min="7" max="7"/>
    <col width="13" customWidth="1" min="8" max="8"/>
    <col width="13" customWidth="1" min="9" max="9"/>
    <col width="15" customWidth="1" min="10" max="10"/>
    <col width="15" customWidth="1" min="11" max="11"/>
    <col width="14" customWidth="1" min="12" max="12"/>
    <col width="20" customWidth="1" min="13" max="13"/>
    <col width="34" customWidth="1" min="14" max="14"/>
  </cols>
  <sheetData>
    <row r="1" ht="22" customHeight="1">
      <c r="A1" s="11" t="inlineStr">
        <is>
          <t>2 · PERSONAL OBLIGADO — ¿a quién va dirigida la capacitación?</t>
        </is>
      </c>
    </row>
    <row r="2" ht="30" customHeight="1">
      <c r="A2" s="12" t="inlineStr">
        <is>
          <t>Marque Sí/No en las columnas C a I. La columna J «¿Obligado?» se calcula sola: es el reparto textual del primer párrafo del RCG 39 Bis. La columna M aplica el párrafo final del RCG 39 Bis 1. Persona física sin empleados: escríbase usted en el primer renglón.</t>
        </is>
      </c>
    </row>
    <row r="4" ht="30" customHeight="1">
      <c r="A4" s="13" t="inlineStr">
        <is>
          <t>PERSONAS QUE ENTRAN AL PROGRAMA (¿Obligado? = Sí):</t>
        </is>
      </c>
      <c r="D4" s="14">
        <f>COUNTIF(J7:J34,"Sí")</f>
        <v/>
      </c>
      <c r="E4" s="10" t="inlineStr">
        <is>
          <t>Ese número es el tamaño mínimo de su programa anual. Si alguien de su nómina no aparece con Sí, revise si de verdad no toca ninguno de los siete supuestos. (RCG 39 Bis)</t>
        </is>
      </c>
    </row>
    <row r="6" ht="62" customHeight="1">
      <c r="A6" s="15" t="inlineStr">
        <is>
          <t>Nombre</t>
        </is>
      </c>
      <c r="B6" s="15" t="inlineStr">
        <is>
          <t>Puesto</t>
        </is>
      </c>
      <c r="C6" s="15" t="inlineStr">
        <is>
          <t>¿Integra órgano de administración o es administrador único?</t>
        </is>
      </c>
      <c r="D6" s="15" t="inlineStr">
        <is>
          <t>¿Es directivo o funcionario?</t>
        </is>
      </c>
      <c r="E6" s="15" t="inlineStr">
        <is>
          <t>¿Es la RECC?</t>
        </is>
      </c>
      <c r="F6" s="15" t="inlineStr">
        <is>
          <t>¿Atiende público?</t>
        </is>
      </c>
      <c r="G6" s="15" t="inlineStr">
        <is>
          <t>¿Participa en identificación o conocimiento del Cliente?</t>
        </is>
      </c>
      <c r="H6" s="15" t="inlineStr">
        <is>
          <t>¿Envía Avisos?</t>
        </is>
      </c>
      <c r="I6" s="15" t="inlineStr">
        <is>
          <t>¿Hace auditoría?</t>
        </is>
      </c>
      <c r="J6" s="15" t="inlineStr">
        <is>
          <t>¿OBLIGADO? (RCG 39 Bis)</t>
        </is>
      </c>
      <c r="K6" s="15" t="inlineStr">
        <is>
          <t>¿Administra recursos? (RCG 39 Bis 1)</t>
        </is>
      </c>
      <c r="L6" s="15" t="inlineStr">
        <is>
          <t>Fecha de ingreso</t>
        </is>
      </c>
      <c r="M6" s="15" t="inlineStr">
        <is>
          <t>¿Requiere capacitación previa o simultánea al ingreso? (RCG 39 Bis 1)</t>
        </is>
      </c>
      <c r="N6" s="15" t="inlineStr">
        <is>
          <t>Notas</t>
        </is>
      </c>
    </row>
    <row r="7" ht="47" customHeight="1">
      <c r="A7" s="16" t="inlineStr">
        <is>
          <t>EJEMPLO · Ana Ruiz Montiel</t>
        </is>
      </c>
      <c r="B7" s="16" t="inlineStr">
        <is>
          <t>Administradora única</t>
        </is>
      </c>
      <c r="C7" s="17" t="inlineStr">
        <is>
          <t>Sí</t>
        </is>
      </c>
      <c r="D7" s="17" t="inlineStr">
        <is>
          <t>Sí</t>
        </is>
      </c>
      <c r="E7" s="17" t="inlineStr">
        <is>
          <t>No</t>
        </is>
      </c>
      <c r="F7" s="17" t="inlineStr">
        <is>
          <t>No</t>
        </is>
      </c>
      <c r="G7" s="17" t="inlineStr">
        <is>
          <t>No</t>
        </is>
      </c>
      <c r="H7" s="17" t="inlineStr">
        <is>
          <t>No</t>
        </is>
      </c>
      <c r="I7" s="17" t="inlineStr">
        <is>
          <t>No</t>
        </is>
      </c>
      <c r="J7" s="18">
        <f>IF($A7="","",IF(COUNTIF($C7:$I7,"Sí")&gt;0,"Sí","No"))</f>
        <v/>
      </c>
      <c r="K7" s="17" t="inlineStr">
        <is>
          <t>No</t>
        </is>
      </c>
      <c r="L7" s="46" t="n">
        <v>43528</v>
      </c>
      <c r="M7" s="18">
        <f>IF($A7="","",IF(OR($F7="Sí",$K7="Sí"),"Sí","No"))</f>
        <v/>
      </c>
      <c r="N7" s="16" t="inlineStr">
        <is>
          <t>Mientras no haya RECC aceptada, las obligaciones le corresponden a ella (L 20 párr. 2).</t>
        </is>
      </c>
    </row>
    <row r="8" ht="34" customHeight="1">
      <c r="A8" s="16" t="inlineStr">
        <is>
          <t>EJEMPLO · Jorge Peña Salas</t>
        </is>
      </c>
      <c r="B8" s="16" t="inlineStr">
        <is>
          <t>Representante Encargado de Cumplimiento</t>
        </is>
      </c>
      <c r="C8" s="17" t="inlineStr">
        <is>
          <t>No</t>
        </is>
      </c>
      <c r="D8" s="17" t="inlineStr">
        <is>
          <t>Sí</t>
        </is>
      </c>
      <c r="E8" s="17" t="inlineStr">
        <is>
          <t>Sí</t>
        </is>
      </c>
      <c r="F8" s="17" t="inlineStr">
        <is>
          <t>No</t>
        </is>
      </c>
      <c r="G8" s="17" t="inlineStr">
        <is>
          <t>Sí</t>
        </is>
      </c>
      <c r="H8" s="17" t="inlineStr">
        <is>
          <t>Sí</t>
        </is>
      </c>
      <c r="I8" s="17" t="inlineStr">
        <is>
          <t>No</t>
        </is>
      </c>
      <c r="J8" s="18">
        <f>IF($A8="","",IF(COUNTIF($C8:$I8,"Sí")&gt;0,"Sí","No"))</f>
        <v/>
      </c>
      <c r="K8" s="17" t="inlineStr">
        <is>
          <t>No</t>
        </is>
      </c>
      <c r="L8" s="46" t="n">
        <v>45139</v>
      </c>
      <c r="M8" s="18">
        <f>IF($A8="","",IF(OR($F8="Sí",$K8="Sí"),"Sí","No"))</f>
        <v/>
      </c>
      <c r="N8" s="16" t="inlineStr">
        <is>
          <t>La RECC debe recibir capacitación anualmente (L 20 párr. 3).</t>
        </is>
      </c>
    </row>
    <row r="9" ht="34" customHeight="1">
      <c r="A9" s="16" t="inlineStr">
        <is>
          <t>EJEMPLO · Lucía Ortega Ramos</t>
        </is>
      </c>
      <c r="B9" s="16" t="inlineStr">
        <is>
          <t>Ejecutiva de ventas / mostrador</t>
        </is>
      </c>
      <c r="C9" s="17" t="inlineStr">
        <is>
          <t>No</t>
        </is>
      </c>
      <c r="D9" s="17" t="inlineStr">
        <is>
          <t>No</t>
        </is>
      </c>
      <c r="E9" s="17" t="inlineStr">
        <is>
          <t>No</t>
        </is>
      </c>
      <c r="F9" s="17" t="inlineStr">
        <is>
          <t>Sí</t>
        </is>
      </c>
      <c r="G9" s="17" t="inlineStr">
        <is>
          <t>Sí</t>
        </is>
      </c>
      <c r="H9" s="17" t="inlineStr">
        <is>
          <t>No</t>
        </is>
      </c>
      <c r="I9" s="17" t="inlineStr">
        <is>
          <t>No</t>
        </is>
      </c>
      <c r="J9" s="18">
        <f>IF($A9="","",IF(COUNTIF($C9:$I9,"Sí")&gt;0,"Sí","No"))</f>
        <v/>
      </c>
      <c r="K9" s="17" t="inlineStr">
        <is>
          <t>Sí</t>
        </is>
      </c>
      <c r="L9" s="46" t="n">
        <v>46433</v>
      </c>
      <c r="M9" s="18">
        <f>IF($A9="","",IF(OR($F9="Sí",$K9="Sí"),"Sí","No"))</f>
        <v/>
      </c>
      <c r="N9" s="16" t="inlineStr">
        <is>
          <t>Atiende público: capacitación previa o simultánea a su ingreso.</t>
        </is>
      </c>
    </row>
    <row r="10" ht="30" customHeight="1">
      <c r="A10" s="20" t="n"/>
      <c r="B10" s="20" t="n"/>
      <c r="C10" s="21" t="n"/>
      <c r="D10" s="21" t="n"/>
      <c r="E10" s="21" t="n"/>
      <c r="F10" s="21" t="n"/>
      <c r="G10" s="21" t="n"/>
      <c r="H10" s="21" t="n"/>
      <c r="I10" s="21" t="n"/>
      <c r="J10" s="22">
        <f>IF($A10="","",IF(COUNTIF($C10:$I10,"Sí")&gt;0,"Sí","No"))</f>
        <v/>
      </c>
      <c r="K10" s="21" t="n"/>
      <c r="L10" s="47" t="n"/>
      <c r="M10" s="22">
        <f>IF($A10="","",IF(OR($F10="Sí",$K10="Sí"),"Sí","No"))</f>
        <v/>
      </c>
      <c r="N10" s="20" t="n"/>
    </row>
    <row r="11" ht="30" customHeight="1">
      <c r="A11" s="20" t="n"/>
      <c r="B11" s="20" t="n"/>
      <c r="C11" s="21" t="n"/>
      <c r="D11" s="21" t="n"/>
      <c r="E11" s="21" t="n"/>
      <c r="F11" s="21" t="n"/>
      <c r="G11" s="21" t="n"/>
      <c r="H11" s="21" t="n"/>
      <c r="I11" s="21" t="n"/>
      <c r="J11" s="22">
        <f>IF($A11="","",IF(COUNTIF($C11:$I11,"Sí")&gt;0,"Sí","No"))</f>
        <v/>
      </c>
      <c r="K11" s="21" t="n"/>
      <c r="L11" s="47" t="n"/>
      <c r="M11" s="22">
        <f>IF($A11="","",IF(OR($F11="Sí",$K11="Sí"),"Sí","No"))</f>
        <v/>
      </c>
      <c r="N11" s="20" t="n"/>
    </row>
    <row r="12" ht="30" customHeight="1">
      <c r="A12" s="20" t="n"/>
      <c r="B12" s="20" t="n"/>
      <c r="C12" s="21" t="n"/>
      <c r="D12" s="21" t="n"/>
      <c r="E12" s="21" t="n"/>
      <c r="F12" s="21" t="n"/>
      <c r="G12" s="21" t="n"/>
      <c r="H12" s="21" t="n"/>
      <c r="I12" s="21" t="n"/>
      <c r="J12" s="22">
        <f>IF($A12="","",IF(COUNTIF($C12:$I12,"Sí")&gt;0,"Sí","No"))</f>
        <v/>
      </c>
      <c r="K12" s="21" t="n"/>
      <c r="L12" s="47" t="n"/>
      <c r="M12" s="22">
        <f>IF($A12="","",IF(OR($F12="Sí",$K12="Sí"),"Sí","No"))</f>
        <v/>
      </c>
      <c r="N12" s="20" t="n"/>
    </row>
    <row r="13" ht="30" customHeight="1">
      <c r="A13" s="20" t="n"/>
      <c r="B13" s="20" t="n"/>
      <c r="C13" s="21" t="n"/>
      <c r="D13" s="21" t="n"/>
      <c r="E13" s="21" t="n"/>
      <c r="F13" s="21" t="n"/>
      <c r="G13" s="21" t="n"/>
      <c r="H13" s="21" t="n"/>
      <c r="I13" s="21" t="n"/>
      <c r="J13" s="22">
        <f>IF($A13="","",IF(COUNTIF($C13:$I13,"Sí")&gt;0,"Sí","No"))</f>
        <v/>
      </c>
      <c r="K13" s="21" t="n"/>
      <c r="L13" s="47" t="n"/>
      <c r="M13" s="22">
        <f>IF($A13="","",IF(OR($F13="Sí",$K13="Sí"),"Sí","No"))</f>
        <v/>
      </c>
      <c r="N13" s="20" t="n"/>
    </row>
    <row r="14" ht="30" customHeight="1">
      <c r="A14" s="20" t="n"/>
      <c r="B14" s="20" t="n"/>
      <c r="C14" s="21" t="n"/>
      <c r="D14" s="21" t="n"/>
      <c r="E14" s="21" t="n"/>
      <c r="F14" s="21" t="n"/>
      <c r="G14" s="21" t="n"/>
      <c r="H14" s="21" t="n"/>
      <c r="I14" s="21" t="n"/>
      <c r="J14" s="22">
        <f>IF($A14="","",IF(COUNTIF($C14:$I14,"Sí")&gt;0,"Sí","No"))</f>
        <v/>
      </c>
      <c r="K14" s="21" t="n"/>
      <c r="L14" s="47" t="n"/>
      <c r="M14" s="22">
        <f>IF($A14="","",IF(OR($F14="Sí",$K14="Sí"),"Sí","No"))</f>
        <v/>
      </c>
      <c r="N14" s="20" t="n"/>
    </row>
    <row r="15" ht="30" customHeight="1">
      <c r="A15" s="20" t="n"/>
      <c r="B15" s="20" t="n"/>
      <c r="C15" s="21" t="n"/>
      <c r="D15" s="21" t="n"/>
      <c r="E15" s="21" t="n"/>
      <c r="F15" s="21" t="n"/>
      <c r="G15" s="21" t="n"/>
      <c r="H15" s="21" t="n"/>
      <c r="I15" s="21" t="n"/>
      <c r="J15" s="22">
        <f>IF($A15="","",IF(COUNTIF($C15:$I15,"Sí")&gt;0,"Sí","No"))</f>
        <v/>
      </c>
      <c r="K15" s="21" t="n"/>
      <c r="L15" s="47" t="n"/>
      <c r="M15" s="22">
        <f>IF($A15="","",IF(OR($F15="Sí",$K15="Sí"),"Sí","No"))</f>
        <v/>
      </c>
      <c r="N15" s="20" t="n"/>
    </row>
    <row r="16" ht="30" customHeight="1">
      <c r="A16" s="20" t="n"/>
      <c r="B16" s="20" t="n"/>
      <c r="C16" s="21" t="n"/>
      <c r="D16" s="21" t="n"/>
      <c r="E16" s="21" t="n"/>
      <c r="F16" s="21" t="n"/>
      <c r="G16" s="21" t="n"/>
      <c r="H16" s="21" t="n"/>
      <c r="I16" s="21" t="n"/>
      <c r="J16" s="22">
        <f>IF($A16="","",IF(COUNTIF($C16:$I16,"Sí")&gt;0,"Sí","No"))</f>
        <v/>
      </c>
      <c r="K16" s="21" t="n"/>
      <c r="L16" s="47" t="n"/>
      <c r="M16" s="22">
        <f>IF($A16="","",IF(OR($F16="Sí",$K16="Sí"),"Sí","No"))</f>
        <v/>
      </c>
      <c r="N16" s="20" t="n"/>
    </row>
    <row r="17" ht="30" customHeight="1">
      <c r="A17" s="20" t="n"/>
      <c r="B17" s="20" t="n"/>
      <c r="C17" s="21" t="n"/>
      <c r="D17" s="21" t="n"/>
      <c r="E17" s="21" t="n"/>
      <c r="F17" s="21" t="n"/>
      <c r="G17" s="21" t="n"/>
      <c r="H17" s="21" t="n"/>
      <c r="I17" s="21" t="n"/>
      <c r="J17" s="22">
        <f>IF($A17="","",IF(COUNTIF($C17:$I17,"Sí")&gt;0,"Sí","No"))</f>
        <v/>
      </c>
      <c r="K17" s="21" t="n"/>
      <c r="L17" s="47" t="n"/>
      <c r="M17" s="22">
        <f>IF($A17="","",IF(OR($F17="Sí",$K17="Sí"),"Sí","No"))</f>
        <v/>
      </c>
      <c r="N17" s="20" t="n"/>
    </row>
    <row r="18" ht="30" customHeight="1">
      <c r="A18" s="20" t="n"/>
      <c r="B18" s="20" t="n"/>
      <c r="C18" s="21" t="n"/>
      <c r="D18" s="21" t="n"/>
      <c r="E18" s="21" t="n"/>
      <c r="F18" s="21" t="n"/>
      <c r="G18" s="21" t="n"/>
      <c r="H18" s="21" t="n"/>
      <c r="I18" s="21" t="n"/>
      <c r="J18" s="22">
        <f>IF($A18="","",IF(COUNTIF($C18:$I18,"Sí")&gt;0,"Sí","No"))</f>
        <v/>
      </c>
      <c r="K18" s="21" t="n"/>
      <c r="L18" s="47" t="n"/>
      <c r="M18" s="22">
        <f>IF($A18="","",IF(OR($F18="Sí",$K18="Sí"),"Sí","No"))</f>
        <v/>
      </c>
      <c r="N18" s="20" t="n"/>
    </row>
    <row r="19" ht="30" customHeight="1">
      <c r="A19" s="20" t="n"/>
      <c r="B19" s="20" t="n"/>
      <c r="C19" s="21" t="n"/>
      <c r="D19" s="21" t="n"/>
      <c r="E19" s="21" t="n"/>
      <c r="F19" s="21" t="n"/>
      <c r="G19" s="21" t="n"/>
      <c r="H19" s="21" t="n"/>
      <c r="I19" s="21" t="n"/>
      <c r="J19" s="22">
        <f>IF($A19="","",IF(COUNTIF($C19:$I19,"Sí")&gt;0,"Sí","No"))</f>
        <v/>
      </c>
      <c r="K19" s="21" t="n"/>
      <c r="L19" s="47" t="n"/>
      <c r="M19" s="22">
        <f>IF($A19="","",IF(OR($F19="Sí",$K19="Sí"),"Sí","No"))</f>
        <v/>
      </c>
      <c r="N19" s="20" t="n"/>
    </row>
    <row r="20" ht="30" customHeight="1">
      <c r="A20" s="20" t="n"/>
      <c r="B20" s="20" t="n"/>
      <c r="C20" s="21" t="n"/>
      <c r="D20" s="21" t="n"/>
      <c r="E20" s="21" t="n"/>
      <c r="F20" s="21" t="n"/>
      <c r="G20" s="21" t="n"/>
      <c r="H20" s="21" t="n"/>
      <c r="I20" s="21" t="n"/>
      <c r="J20" s="22">
        <f>IF($A20="","",IF(COUNTIF($C20:$I20,"Sí")&gt;0,"Sí","No"))</f>
        <v/>
      </c>
      <c r="K20" s="21" t="n"/>
      <c r="L20" s="47" t="n"/>
      <c r="M20" s="22">
        <f>IF($A20="","",IF(OR($F20="Sí",$K20="Sí"),"Sí","No"))</f>
        <v/>
      </c>
      <c r="N20" s="20" t="n"/>
    </row>
    <row r="21" ht="30" customHeight="1">
      <c r="A21" s="20" t="n"/>
      <c r="B21" s="20" t="n"/>
      <c r="C21" s="21" t="n"/>
      <c r="D21" s="21" t="n"/>
      <c r="E21" s="21" t="n"/>
      <c r="F21" s="21" t="n"/>
      <c r="G21" s="21" t="n"/>
      <c r="H21" s="21" t="n"/>
      <c r="I21" s="21" t="n"/>
      <c r="J21" s="22">
        <f>IF($A21="","",IF(COUNTIF($C21:$I21,"Sí")&gt;0,"Sí","No"))</f>
        <v/>
      </c>
      <c r="K21" s="21" t="n"/>
      <c r="L21" s="47" t="n"/>
      <c r="M21" s="22">
        <f>IF($A21="","",IF(OR($F21="Sí",$K21="Sí"),"Sí","No"))</f>
        <v/>
      </c>
      <c r="N21" s="20" t="n"/>
    </row>
    <row r="22" ht="30" customHeight="1">
      <c r="A22" s="20" t="n"/>
      <c r="B22" s="20" t="n"/>
      <c r="C22" s="21" t="n"/>
      <c r="D22" s="21" t="n"/>
      <c r="E22" s="21" t="n"/>
      <c r="F22" s="21" t="n"/>
      <c r="G22" s="21" t="n"/>
      <c r="H22" s="21" t="n"/>
      <c r="I22" s="21" t="n"/>
      <c r="J22" s="22">
        <f>IF($A22="","",IF(COUNTIF($C22:$I22,"Sí")&gt;0,"Sí","No"))</f>
        <v/>
      </c>
      <c r="K22" s="21" t="n"/>
      <c r="L22" s="47" t="n"/>
      <c r="M22" s="22">
        <f>IF($A22="","",IF(OR($F22="Sí",$K22="Sí"),"Sí","No"))</f>
        <v/>
      </c>
      <c r="N22" s="20" t="n"/>
    </row>
    <row r="23" ht="30" customHeight="1">
      <c r="A23" s="20" t="n"/>
      <c r="B23" s="20" t="n"/>
      <c r="C23" s="21" t="n"/>
      <c r="D23" s="21" t="n"/>
      <c r="E23" s="21" t="n"/>
      <c r="F23" s="21" t="n"/>
      <c r="G23" s="21" t="n"/>
      <c r="H23" s="21" t="n"/>
      <c r="I23" s="21" t="n"/>
      <c r="J23" s="22">
        <f>IF($A23="","",IF(COUNTIF($C23:$I23,"Sí")&gt;0,"Sí","No"))</f>
        <v/>
      </c>
      <c r="K23" s="21" t="n"/>
      <c r="L23" s="47" t="n"/>
      <c r="M23" s="22">
        <f>IF($A23="","",IF(OR($F23="Sí",$K23="Sí"),"Sí","No"))</f>
        <v/>
      </c>
      <c r="N23" s="20" t="n"/>
    </row>
    <row r="24" ht="30" customHeight="1">
      <c r="A24" s="20" t="n"/>
      <c r="B24" s="20" t="n"/>
      <c r="C24" s="21" t="n"/>
      <c r="D24" s="21" t="n"/>
      <c r="E24" s="21" t="n"/>
      <c r="F24" s="21" t="n"/>
      <c r="G24" s="21" t="n"/>
      <c r="H24" s="21" t="n"/>
      <c r="I24" s="21" t="n"/>
      <c r="J24" s="22">
        <f>IF($A24="","",IF(COUNTIF($C24:$I24,"Sí")&gt;0,"Sí","No"))</f>
        <v/>
      </c>
      <c r="K24" s="21" t="n"/>
      <c r="L24" s="47" t="n"/>
      <c r="M24" s="22">
        <f>IF($A24="","",IF(OR($F24="Sí",$K24="Sí"),"Sí","No"))</f>
        <v/>
      </c>
      <c r="N24" s="20" t="n"/>
    </row>
    <row r="25" ht="30" customHeight="1">
      <c r="A25" s="20" t="n"/>
      <c r="B25" s="20" t="n"/>
      <c r="C25" s="21" t="n"/>
      <c r="D25" s="21" t="n"/>
      <c r="E25" s="21" t="n"/>
      <c r="F25" s="21" t="n"/>
      <c r="G25" s="21" t="n"/>
      <c r="H25" s="21" t="n"/>
      <c r="I25" s="21" t="n"/>
      <c r="J25" s="22">
        <f>IF($A25="","",IF(COUNTIF($C25:$I25,"Sí")&gt;0,"Sí","No"))</f>
        <v/>
      </c>
      <c r="K25" s="21" t="n"/>
      <c r="L25" s="47" t="n"/>
      <c r="M25" s="22">
        <f>IF($A25="","",IF(OR($F25="Sí",$K25="Sí"),"Sí","No"))</f>
        <v/>
      </c>
      <c r="N25" s="20" t="n"/>
    </row>
    <row r="26" ht="30" customHeight="1">
      <c r="A26" s="20" t="n"/>
      <c r="B26" s="20" t="n"/>
      <c r="C26" s="21" t="n"/>
      <c r="D26" s="21" t="n"/>
      <c r="E26" s="21" t="n"/>
      <c r="F26" s="21" t="n"/>
      <c r="G26" s="21" t="n"/>
      <c r="H26" s="21" t="n"/>
      <c r="I26" s="21" t="n"/>
      <c r="J26" s="22">
        <f>IF($A26="","",IF(COUNTIF($C26:$I26,"Sí")&gt;0,"Sí","No"))</f>
        <v/>
      </c>
      <c r="K26" s="21" t="n"/>
      <c r="L26" s="47" t="n"/>
      <c r="M26" s="22">
        <f>IF($A26="","",IF(OR($F26="Sí",$K26="Sí"),"Sí","No"))</f>
        <v/>
      </c>
      <c r="N26" s="20" t="n"/>
    </row>
    <row r="27" ht="30" customHeight="1">
      <c r="A27" s="20" t="n"/>
      <c r="B27" s="20" t="n"/>
      <c r="C27" s="21" t="n"/>
      <c r="D27" s="21" t="n"/>
      <c r="E27" s="21" t="n"/>
      <c r="F27" s="21" t="n"/>
      <c r="G27" s="21" t="n"/>
      <c r="H27" s="21" t="n"/>
      <c r="I27" s="21" t="n"/>
      <c r="J27" s="22">
        <f>IF($A27="","",IF(COUNTIF($C27:$I27,"Sí")&gt;0,"Sí","No"))</f>
        <v/>
      </c>
      <c r="K27" s="21" t="n"/>
      <c r="L27" s="47" t="n"/>
      <c r="M27" s="22">
        <f>IF($A27="","",IF(OR($F27="Sí",$K27="Sí"),"Sí","No"))</f>
        <v/>
      </c>
      <c r="N27" s="20" t="n"/>
    </row>
    <row r="28" ht="30" customHeight="1">
      <c r="A28" s="20" t="n"/>
      <c r="B28" s="20" t="n"/>
      <c r="C28" s="21" t="n"/>
      <c r="D28" s="21" t="n"/>
      <c r="E28" s="21" t="n"/>
      <c r="F28" s="21" t="n"/>
      <c r="G28" s="21" t="n"/>
      <c r="H28" s="21" t="n"/>
      <c r="I28" s="21" t="n"/>
      <c r="J28" s="22">
        <f>IF($A28="","",IF(COUNTIF($C28:$I28,"Sí")&gt;0,"Sí","No"))</f>
        <v/>
      </c>
      <c r="K28" s="21" t="n"/>
      <c r="L28" s="47" t="n"/>
      <c r="M28" s="22">
        <f>IF($A28="","",IF(OR($F28="Sí",$K28="Sí"),"Sí","No"))</f>
        <v/>
      </c>
      <c r="N28" s="20" t="n"/>
    </row>
    <row r="29" ht="30" customHeight="1">
      <c r="A29" s="20" t="n"/>
      <c r="B29" s="20" t="n"/>
      <c r="C29" s="21" t="n"/>
      <c r="D29" s="21" t="n"/>
      <c r="E29" s="21" t="n"/>
      <c r="F29" s="21" t="n"/>
      <c r="G29" s="21" t="n"/>
      <c r="H29" s="21" t="n"/>
      <c r="I29" s="21" t="n"/>
      <c r="J29" s="22">
        <f>IF($A29="","",IF(COUNTIF($C29:$I29,"Sí")&gt;0,"Sí","No"))</f>
        <v/>
      </c>
      <c r="K29" s="21" t="n"/>
      <c r="L29" s="47" t="n"/>
      <c r="M29" s="22">
        <f>IF($A29="","",IF(OR($F29="Sí",$K29="Sí"),"Sí","No"))</f>
        <v/>
      </c>
      <c r="N29" s="20" t="n"/>
    </row>
    <row r="30" ht="30" customHeight="1">
      <c r="A30" s="20" t="n"/>
      <c r="B30" s="20" t="n"/>
      <c r="C30" s="21" t="n"/>
      <c r="D30" s="21" t="n"/>
      <c r="E30" s="21" t="n"/>
      <c r="F30" s="21" t="n"/>
      <c r="G30" s="21" t="n"/>
      <c r="H30" s="21" t="n"/>
      <c r="I30" s="21" t="n"/>
      <c r="J30" s="22">
        <f>IF($A30="","",IF(COUNTIF($C30:$I30,"Sí")&gt;0,"Sí","No"))</f>
        <v/>
      </c>
      <c r="K30" s="21" t="n"/>
      <c r="L30" s="47" t="n"/>
      <c r="M30" s="22">
        <f>IF($A30="","",IF(OR($F30="Sí",$K30="Sí"),"Sí","No"))</f>
        <v/>
      </c>
      <c r="N30" s="20" t="n"/>
    </row>
    <row r="31" ht="30" customHeight="1">
      <c r="A31" s="20" t="n"/>
      <c r="B31" s="20" t="n"/>
      <c r="C31" s="21" t="n"/>
      <c r="D31" s="21" t="n"/>
      <c r="E31" s="21" t="n"/>
      <c r="F31" s="21" t="n"/>
      <c r="G31" s="21" t="n"/>
      <c r="H31" s="21" t="n"/>
      <c r="I31" s="21" t="n"/>
      <c r="J31" s="22">
        <f>IF($A31="","",IF(COUNTIF($C31:$I31,"Sí")&gt;0,"Sí","No"))</f>
        <v/>
      </c>
      <c r="K31" s="21" t="n"/>
      <c r="L31" s="47" t="n"/>
      <c r="M31" s="22">
        <f>IF($A31="","",IF(OR($F31="Sí",$K31="Sí"),"Sí","No"))</f>
        <v/>
      </c>
      <c r="N31" s="20" t="n"/>
    </row>
    <row r="32" ht="30" customHeight="1">
      <c r="A32" s="20" t="n"/>
      <c r="B32" s="20" t="n"/>
      <c r="C32" s="21" t="n"/>
      <c r="D32" s="21" t="n"/>
      <c r="E32" s="21" t="n"/>
      <c r="F32" s="21" t="n"/>
      <c r="G32" s="21" t="n"/>
      <c r="H32" s="21" t="n"/>
      <c r="I32" s="21" t="n"/>
      <c r="J32" s="22">
        <f>IF($A32="","",IF(COUNTIF($C32:$I32,"Sí")&gt;0,"Sí","No"))</f>
        <v/>
      </c>
      <c r="K32" s="21" t="n"/>
      <c r="L32" s="47" t="n"/>
      <c r="M32" s="22">
        <f>IF($A32="","",IF(OR($F32="Sí",$K32="Sí"),"Sí","No"))</f>
        <v/>
      </c>
      <c r="N32" s="20" t="n"/>
    </row>
    <row r="33" ht="30" customHeight="1">
      <c r="A33" s="20" t="n"/>
      <c r="B33" s="20" t="n"/>
      <c r="C33" s="21" t="n"/>
      <c r="D33" s="21" t="n"/>
      <c r="E33" s="21" t="n"/>
      <c r="F33" s="21" t="n"/>
      <c r="G33" s="21" t="n"/>
      <c r="H33" s="21" t="n"/>
      <c r="I33" s="21" t="n"/>
      <c r="J33" s="22">
        <f>IF($A33="","",IF(COUNTIF($C33:$I33,"Sí")&gt;0,"Sí","No"))</f>
        <v/>
      </c>
      <c r="K33" s="21" t="n"/>
      <c r="L33" s="47" t="n"/>
      <c r="M33" s="22">
        <f>IF($A33="","",IF(OR($F33="Sí",$K33="Sí"),"Sí","No"))</f>
        <v/>
      </c>
      <c r="N33" s="20" t="n"/>
    </row>
    <row r="34" ht="30" customHeight="1">
      <c r="A34" s="20" t="n"/>
      <c r="B34" s="20" t="n"/>
      <c r="C34" s="21" t="n"/>
      <c r="D34" s="21" t="n"/>
      <c r="E34" s="21" t="n"/>
      <c r="F34" s="21" t="n"/>
      <c r="G34" s="21" t="n"/>
      <c r="H34" s="21" t="n"/>
      <c r="I34" s="21" t="n"/>
      <c r="J34" s="22">
        <f>IF($A34="","",IF(COUNTIF($C34:$I34,"Sí")&gt;0,"Sí","No"))</f>
        <v/>
      </c>
      <c r="K34" s="21" t="n"/>
      <c r="L34" s="47" t="n"/>
      <c r="M34" s="22">
        <f>IF($A34="","",IF(OR($F34="Sí",$K34="Sí"),"Sí","No"))</f>
        <v/>
      </c>
      <c r="N34" s="20" t="n"/>
    </row>
    <row r="36" ht="62" customHeight="1">
      <c r="A36" s="10" t="inlineStr">
        <is>
          <t>Los siete supuestos de las columnas C a I son, textualmente, a quién debe dirigirse la capacitación: consejo de administración, administrador único o equivalente, directivos, funcionarios, la Representante Encargada de Cumplimiento, y empleados que laboren en atención al público, participen en identificación o conocimiento del Cliente, en el envío de Avisos o realicen actividades de auditoría (RCG 39 Bis). La columna K no es un supuesto de esa lista: se pregunta sólo para resolver la columna M, porque el párrafo final del RCG 39 Bis 1 exige capacitación previa o simultánea al ingreso a quien vaya a operar en atención al público o en administración de recursos.</t>
        </is>
      </c>
    </row>
  </sheetData>
  <mergeCells count="5">
    <mergeCell ref="A2:N2"/>
    <mergeCell ref="E4:N4"/>
    <mergeCell ref="A4:C4"/>
    <mergeCell ref="A36:N36"/>
    <mergeCell ref="A1:N1"/>
  </mergeCells>
  <conditionalFormatting sqref="J7:J34">
    <cfRule type="expression" priority="1" dxfId="0">
      <formula>$J7="Sí"</formula>
    </cfRule>
  </conditionalFormatting>
  <conditionalFormatting sqref="M7:M34">
    <cfRule type="expression" priority="2" dxfId="0">
      <formula>$M7="Sí"</formula>
    </cfRule>
  </conditionalFormatting>
  <dataValidations count="1">
    <dataValidation sqref="C7:C34 D7:D34 E7:E34 F7:F34 G7:G34 H7:H34 I7:I34 K7:K34" showDropDown="0" showInputMessage="0" showErrorMessage="0" allowBlank="1" errorTitle="Valor no válido" error="Sólo Sí o No." type="list">
      <formula1>"Sí,No"</formula1>
    </dataValidation>
  </dataValidations>
  <printOptions horizontalCentered="1"/>
  <pageMargins left="0.4" right="0.4" top="0.5" bottom="0.5" header="0.5" footer="0.5"/>
  <pageSetup orientation="landscape" paperSize="1" fitToHeight="0" fitToWidth="1"/>
  <headerFooter>
    <oddHeader/>
    <oddFooter>&amp;L&amp;8 S03_ALU_04 · Programa de capacitación · LFPIORPI&amp;R&amp;8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O25"/>
  <sheetViews>
    <sheetView showGridLines="0" workbookViewId="0">
      <pane xSplit="1" ySplit="8" topLeftCell="B9"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40" customWidth="1" min="2" max="2"/>
    <col width="42" customWidth="1" min="3" max="3"/>
    <col width="30" customWidth="1" min="4" max="4"/>
    <col width="14" customWidth="1" min="5" max="5"/>
    <col width="11" customWidth="1" min="6" max="6"/>
    <col width="15" customWidth="1" min="7" max="7"/>
    <col width="22" customWidth="1" min="8" max="8"/>
    <col width="17" customWidth="1" min="9" max="9"/>
    <col width="30" customWidth="1" min="10" max="10"/>
    <col width="13" customWidth="1" min="11" max="11"/>
    <col width="16" customWidth="1" min="12" max="12"/>
    <col width="46" customWidth="1" min="15" max="15"/>
  </cols>
  <sheetData>
    <row r="1" ht="22" customHeight="1">
      <c r="A1" s="11" t="inlineStr">
        <is>
          <t>3 · PROGRAMA ANUAL — la malla del año</t>
        </is>
      </c>
    </row>
    <row r="2" ht="30" customHeight="1">
      <c r="A2" s="12" t="inlineStr">
        <is>
          <t>Cursos, talleres o programas por lo menos una vez al año (RCG 39 Bis fr. I). Los cinco primeros renglones vienen precargados y cubren los cuatro incisos del contenido mínimo más la fracción II: ajústelos, no empiece de cero.</t>
        </is>
      </c>
    </row>
    <row r="4">
      <c r="A4" s="13" t="inlineStr">
        <is>
          <t>SEMÁFORO DE COBERTURA DE LOS CONTENIDOS MÍNIMOS (RCG 39 Bis fr. I incisos a–d y fr. II)</t>
        </is>
      </c>
    </row>
    <row r="5" ht="30" customHeight="1">
      <c r="A5" s="24" t="inlineStr">
        <is>
          <t>a) Marco normativo y Resoluciones de formatos</t>
        </is>
      </c>
      <c r="B5" s="25" t="n"/>
      <c r="C5" s="24" t="inlineStr">
        <is>
          <t>b) Contenido del propio Manual</t>
        </is>
      </c>
      <c r="D5" s="25" t="n"/>
      <c r="E5" s="24" t="inlineStr">
        <is>
          <t>c) Actos u operaciones del L 17</t>
        </is>
      </c>
      <c r="F5" s="25" t="n"/>
      <c r="G5" s="24" t="inlineStr">
        <is>
          <t>d) Riesgos a que está expuesto</t>
        </is>
      </c>
      <c r="H5" s="25" t="n"/>
      <c r="I5" s="24" t="inlineStr">
        <is>
          <t>fr. II · CPF 400 Bis y delitos relacionados</t>
        </is>
      </c>
      <c r="J5" s="25" t="n"/>
    </row>
    <row r="6" ht="22" customHeight="1">
      <c r="A6" s="26">
        <f>IF(COUNTIF($C$9:$C$23,$O$8)&gt;0,"CUBIERTO","FALTA")</f>
        <v/>
      </c>
      <c r="B6" s="25" t="n"/>
      <c r="C6" s="26">
        <f>IF(COUNTIF($C$9:$C$23,$O$9)&gt;0,"CUBIERTO","FALTA")</f>
        <v/>
      </c>
      <c r="D6" s="25" t="n"/>
      <c r="E6" s="26">
        <f>IF(COUNTIF($C$9:$C$23,$O$10)&gt;0,"CUBIERTO","FALTA")</f>
        <v/>
      </c>
      <c r="F6" s="25" t="n"/>
      <c r="G6" s="26">
        <f>IF(COUNTIF($C$9:$C$23,$O$11)&gt;0,"CUBIERTO","FALTA")</f>
        <v/>
      </c>
      <c r="H6" s="25" t="n"/>
      <c r="I6" s="26">
        <f>IF(COUNTIF($C$9:$C$23,$O$12)&gt;0,"CUBIERTO","FALTA")</f>
        <v/>
      </c>
      <c r="J6" s="25" t="n"/>
    </row>
    <row r="7">
      <c r="O7" s="27" t="inlineStr">
        <is>
          <t>CATÁLOGO RCG 39 Bis fr. I y fr. II — no borrar</t>
        </is>
      </c>
    </row>
    <row r="8" ht="62" customHeight="1">
      <c r="A8" s="15" t="inlineStr">
        <is>
          <t>Nº</t>
        </is>
      </c>
      <c r="B8" s="15" t="inlineStr">
        <is>
          <t>Tema</t>
        </is>
      </c>
      <c r="C8" s="15" t="inlineStr">
        <is>
          <t>Fundamento del contenido mínimo</t>
        </is>
      </c>
      <c r="D8" s="15" t="inlineStr">
        <is>
          <t>Dirigido a</t>
        </is>
      </c>
      <c r="E8" s="15" t="inlineStr">
        <is>
          <t>Modalidad</t>
        </is>
      </c>
      <c r="F8" s="15" t="inlineStr">
        <is>
          <t>Duración</t>
        </is>
      </c>
      <c r="G8" s="15" t="inlineStr">
        <is>
          <t>Mes programado</t>
        </is>
      </c>
      <c r="H8" s="15" t="inlineStr">
        <is>
          <t>Quién imparte</t>
        </is>
      </c>
      <c r="I8" s="15" t="inlineStr">
        <is>
          <t>¿El instructor acredita 5 años de experiencia? (RCG 39 Bis fr. III)</t>
        </is>
      </c>
      <c r="J8" s="15" t="inlineStr">
        <is>
          <t>¿Cómo se acredita esa experiencia?</t>
        </is>
      </c>
      <c r="K8" s="15" t="inlineStr">
        <is>
          <t>¿Hay evaluación?</t>
        </is>
      </c>
      <c r="L8" s="15" t="inlineStr">
        <is>
          <t>Estatus</t>
        </is>
      </c>
      <c r="O8" s="28" t="inlineStr">
        <is>
          <t>a) Ley, Reglamento, Reglas de carácter general y Resoluciones de formatos de alta y de Avisos, y sus modificaciones</t>
        </is>
      </c>
    </row>
    <row r="9" ht="73" customHeight="1">
      <c r="A9" s="29" t="n">
        <v>1</v>
      </c>
      <c r="B9" s="20" t="inlineStr">
        <is>
          <t>Marco normativo LFPIORPI: Ley, Reglamento, Reglas de carácter general (ACUERDO 115/2026) y Resoluciones de formatos oficiales de alta y de Avisos, con sus modificaciones</t>
        </is>
      </c>
      <c r="C9" s="20" t="inlineStr">
        <is>
          <t>a) Ley, Reglamento, Reglas de carácter general y Resoluciones de formatos de alta y de Avisos, y sus modificaciones</t>
        </is>
      </c>
      <c r="D9" s="20" t="inlineStr">
        <is>
          <t>Órgano de administración / administrador único, directivos, funcionarios, RECC y personal de atención al público</t>
        </is>
      </c>
      <c r="E9" s="29" t="inlineStr">
        <is>
          <t>En línea</t>
        </is>
      </c>
      <c r="F9" s="29" t="inlineStr">
        <is>
          <t>3 h</t>
        </is>
      </c>
      <c r="G9" s="29" t="inlineStr">
        <is>
          <t>Marzo</t>
        </is>
      </c>
      <c r="H9" s="21" t="inlineStr"/>
      <c r="I9" s="21" t="inlineStr"/>
      <c r="J9" s="30" t="inlineStr"/>
      <c r="K9" s="29" t="inlineStr">
        <is>
          <t>Sí</t>
        </is>
      </c>
      <c r="L9" s="29" t="inlineStr">
        <is>
          <t>Programado</t>
        </is>
      </c>
      <c r="O9" s="28" t="inlineStr">
        <is>
          <t>b) El contenido del propio Manual</t>
        </is>
      </c>
    </row>
    <row r="10" ht="60" customHeight="1">
      <c r="A10" s="29" t="n">
        <v>2</v>
      </c>
      <c r="B10" s="20" t="inlineStr">
        <is>
          <t>El Manual de Políticas Internas de la casa: qué dice el nuestro, dónde vive cada política y cómo se aplica en el día a día</t>
        </is>
      </c>
      <c r="C10" s="20" t="inlineStr">
        <is>
          <t>b) El contenido del propio Manual</t>
        </is>
      </c>
      <c r="D10" s="20" t="inlineStr">
        <is>
          <t>Todo el personal obligado (hoja 2)</t>
        </is>
      </c>
      <c r="E10" s="29" t="inlineStr">
        <is>
          <t>En línea</t>
        </is>
      </c>
      <c r="F10" s="29" t="inlineStr">
        <is>
          <t>2 h</t>
        </is>
      </c>
      <c r="G10" s="29" t="inlineStr">
        <is>
          <t>Mayo</t>
        </is>
      </c>
      <c r="H10" s="21" t="inlineStr"/>
      <c r="I10" s="21" t="inlineStr"/>
      <c r="J10" s="30" t="inlineStr"/>
      <c r="K10" s="29" t="inlineStr">
        <is>
          <t>Sí</t>
        </is>
      </c>
      <c r="L10" s="29" t="inlineStr">
        <is>
          <t>Programado</t>
        </is>
      </c>
      <c r="O10" s="28" t="inlineStr">
        <is>
          <t>c) Los actos u operaciones del artículo 17 de la Ley</t>
        </is>
      </c>
    </row>
    <row r="11" ht="73" customHeight="1">
      <c r="A11" s="29" t="n">
        <v>3</v>
      </c>
      <c r="B11" s="20" t="inlineStr">
        <is>
          <t>Nuestra Actividad Vulnerable a detalle: los actos u operaciones del artículo 17 de la Ley que efectivamente realizamos, umbrales de identificación y de Aviso</t>
        </is>
      </c>
      <c r="C11" s="20" t="inlineStr">
        <is>
          <t>c) Los actos u operaciones del artículo 17 de la Ley</t>
        </is>
      </c>
      <c r="D11" s="20" t="inlineStr">
        <is>
          <t>Personal de atención al público, identificación y conocimiento del Cliente, y envío de Avisos</t>
        </is>
      </c>
      <c r="E11" s="29" t="inlineStr">
        <is>
          <t>Presencial</t>
        </is>
      </c>
      <c r="F11" s="29" t="inlineStr">
        <is>
          <t>3 h</t>
        </is>
      </c>
      <c r="G11" s="29" t="inlineStr">
        <is>
          <t>Julio</t>
        </is>
      </c>
      <c r="H11" s="21" t="inlineStr"/>
      <c r="I11" s="21" t="inlineStr"/>
      <c r="J11" s="30" t="inlineStr"/>
      <c r="K11" s="29" t="inlineStr">
        <is>
          <t>Sí</t>
        </is>
      </c>
      <c r="L11" s="29" t="inlineStr">
        <is>
          <t>Programado</t>
        </is>
      </c>
      <c r="O11" s="28" t="inlineStr">
        <is>
          <t>d) Los Riesgos a que está expuesto quien realiza la Actividad Vulnerable</t>
        </is>
      </c>
    </row>
    <row r="12" ht="60" customHeight="1">
      <c r="A12" s="29" t="n">
        <v>4</v>
      </c>
      <c r="B12" s="20" t="inlineStr">
        <is>
          <t>Riesgos a que está expuesto el negocio: resultados de nuestra metodología de evaluación de riesgos y qué hace cada quien con ellos</t>
        </is>
      </c>
      <c r="C12" s="20" t="inlineStr">
        <is>
          <t>d) Los Riesgos a que está expuesto quien realiza la Actividad Vulnerable</t>
        </is>
      </c>
      <c r="D12" s="20" t="inlineStr">
        <is>
          <t>Órgano de administración / administrador único, RECC, directivos y auditoría</t>
        </is>
      </c>
      <c r="E12" s="29" t="inlineStr">
        <is>
          <t>Presencial</t>
        </is>
      </c>
      <c r="F12" s="29" t="inlineStr">
        <is>
          <t>2 h</t>
        </is>
      </c>
      <c r="G12" s="29" t="inlineStr">
        <is>
          <t>Septiembre</t>
        </is>
      </c>
      <c r="H12" s="21" t="inlineStr"/>
      <c r="I12" s="21" t="inlineStr"/>
      <c r="J12" s="30" t="inlineStr"/>
      <c r="K12" s="29" t="inlineStr">
        <is>
          <t>Sí</t>
        </is>
      </c>
      <c r="L12" s="29" t="inlineStr">
        <is>
          <t>Programado</t>
        </is>
      </c>
      <c r="O12" s="28" t="inlineStr">
        <is>
          <t>fr. II · Técnicas, métodos y tendencias del CPF 400 Bis y delitos relacionados</t>
        </is>
      </c>
    </row>
    <row r="13" ht="60" customHeight="1">
      <c r="A13" s="29" t="n">
        <v>5</v>
      </c>
      <c r="B13" s="20" t="inlineStr">
        <is>
          <t>Técnicas, métodos y tendencias del lavado de dinero: el artículo 400 Bis del Código Penal Federal y delitos relacionados, con tipologías del sector</t>
        </is>
      </c>
      <c r="C13" s="20" t="inlineStr">
        <is>
          <t>fr. II · Técnicas, métodos y tendencias del CPF 400 Bis y delitos relacionados</t>
        </is>
      </c>
      <c r="D13" s="20" t="inlineStr">
        <is>
          <t>Todo el personal obligado (hoja 2)</t>
        </is>
      </c>
      <c r="E13" s="29" t="inlineStr">
        <is>
          <t>En línea</t>
        </is>
      </c>
      <c r="F13" s="29" t="inlineStr">
        <is>
          <t>2 h</t>
        </is>
      </c>
      <c r="G13" s="29" t="inlineStr">
        <is>
          <t>Noviembre</t>
        </is>
      </c>
      <c r="H13" s="21" t="inlineStr"/>
      <c r="I13" s="21" t="inlineStr"/>
      <c r="J13" s="30" t="inlineStr"/>
      <c r="K13" s="29" t="inlineStr">
        <is>
          <t>Sí</t>
        </is>
      </c>
      <c r="L13" s="29" t="inlineStr">
        <is>
          <t>Programado</t>
        </is>
      </c>
    </row>
    <row r="14" ht="40" customHeight="1">
      <c r="A14" s="29" t="n">
        <v>6</v>
      </c>
      <c r="B14" s="30" t="n"/>
      <c r="C14" s="30" t="n"/>
      <c r="D14" s="30" t="n"/>
      <c r="E14" s="21" t="n"/>
      <c r="F14" s="21" t="n"/>
      <c r="G14" s="21" t="n"/>
      <c r="H14" s="21" t="n"/>
      <c r="I14" s="21" t="n"/>
      <c r="J14" s="30" t="n"/>
      <c r="K14" s="21" t="n"/>
      <c r="L14" s="21" t="n"/>
    </row>
    <row r="15" ht="40" customHeight="1">
      <c r="A15" s="29" t="n">
        <v>7</v>
      </c>
      <c r="B15" s="30" t="n"/>
      <c r="C15" s="30" t="n"/>
      <c r="D15" s="30" t="n"/>
      <c r="E15" s="21" t="n"/>
      <c r="F15" s="21" t="n"/>
      <c r="G15" s="21" t="n"/>
      <c r="H15" s="21" t="n"/>
      <c r="I15" s="21" t="n"/>
      <c r="J15" s="30" t="n"/>
      <c r="K15" s="21" t="n"/>
      <c r="L15" s="21" t="n"/>
    </row>
    <row r="16" ht="40" customHeight="1">
      <c r="A16" s="29" t="n">
        <v>8</v>
      </c>
      <c r="B16" s="30" t="n"/>
      <c r="C16" s="30" t="n"/>
      <c r="D16" s="30" t="n"/>
      <c r="E16" s="21" t="n"/>
      <c r="F16" s="21" t="n"/>
      <c r="G16" s="21" t="n"/>
      <c r="H16" s="21" t="n"/>
      <c r="I16" s="21" t="n"/>
      <c r="J16" s="30" t="n"/>
      <c r="K16" s="21" t="n"/>
      <c r="L16" s="21" t="n"/>
    </row>
    <row r="17" ht="40" customHeight="1">
      <c r="A17" s="29" t="n">
        <v>9</v>
      </c>
      <c r="B17" s="30" t="n"/>
      <c r="C17" s="30" t="n"/>
      <c r="D17" s="30" t="n"/>
      <c r="E17" s="21" t="n"/>
      <c r="F17" s="21" t="n"/>
      <c r="G17" s="21" t="n"/>
      <c r="H17" s="21" t="n"/>
      <c r="I17" s="21" t="n"/>
      <c r="J17" s="30" t="n"/>
      <c r="K17" s="21" t="n"/>
      <c r="L17" s="21" t="n"/>
    </row>
    <row r="18" ht="40" customHeight="1">
      <c r="A18" s="29" t="n">
        <v>10</v>
      </c>
      <c r="B18" s="30" t="n"/>
      <c r="C18" s="30" t="n"/>
      <c r="D18" s="30" t="n"/>
      <c r="E18" s="21" t="n"/>
      <c r="F18" s="21" t="n"/>
      <c r="G18" s="21" t="n"/>
      <c r="H18" s="21" t="n"/>
      <c r="I18" s="21" t="n"/>
      <c r="J18" s="30" t="n"/>
      <c r="K18" s="21" t="n"/>
      <c r="L18" s="21" t="n"/>
    </row>
    <row r="19" ht="40" customHeight="1">
      <c r="A19" s="29" t="n">
        <v>11</v>
      </c>
      <c r="B19" s="30" t="n"/>
      <c r="C19" s="30" t="n"/>
      <c r="D19" s="30" t="n"/>
      <c r="E19" s="21" t="n"/>
      <c r="F19" s="21" t="n"/>
      <c r="G19" s="21" t="n"/>
      <c r="H19" s="21" t="n"/>
      <c r="I19" s="21" t="n"/>
      <c r="J19" s="30" t="n"/>
      <c r="K19" s="21" t="n"/>
      <c r="L19" s="21" t="n"/>
    </row>
    <row r="20" ht="40" customHeight="1">
      <c r="A20" s="29" t="n">
        <v>12</v>
      </c>
      <c r="B20" s="30" t="n"/>
      <c r="C20" s="30" t="n"/>
      <c r="D20" s="30" t="n"/>
      <c r="E20" s="21" t="n"/>
      <c r="F20" s="21" t="n"/>
      <c r="G20" s="21" t="n"/>
      <c r="H20" s="21" t="n"/>
      <c r="I20" s="21" t="n"/>
      <c r="J20" s="30" t="n"/>
      <c r="K20" s="21" t="n"/>
      <c r="L20" s="21" t="n"/>
    </row>
    <row r="21" ht="40" customHeight="1">
      <c r="A21" s="29" t="n">
        <v>13</v>
      </c>
      <c r="B21" s="30" t="n"/>
      <c r="C21" s="30" t="n"/>
      <c r="D21" s="30" t="n"/>
      <c r="E21" s="21" t="n"/>
      <c r="F21" s="21" t="n"/>
      <c r="G21" s="21" t="n"/>
      <c r="H21" s="21" t="n"/>
      <c r="I21" s="21" t="n"/>
      <c r="J21" s="30" t="n"/>
      <c r="K21" s="21" t="n"/>
      <c r="L21" s="21" t="n"/>
    </row>
    <row r="22" ht="40" customHeight="1">
      <c r="A22" s="29" t="n">
        <v>14</v>
      </c>
      <c r="B22" s="30" t="n"/>
      <c r="C22" s="30" t="n"/>
      <c r="D22" s="30" t="n"/>
      <c r="E22" s="21" t="n"/>
      <c r="F22" s="21" t="n"/>
      <c r="G22" s="21" t="n"/>
      <c r="H22" s="21" t="n"/>
      <c r="I22" s="21" t="n"/>
      <c r="J22" s="30" t="n"/>
      <c r="K22" s="21" t="n"/>
      <c r="L22" s="21" t="n"/>
    </row>
    <row r="23" ht="40" customHeight="1">
      <c r="A23" s="29" t="n">
        <v>15</v>
      </c>
      <c r="B23" s="30" t="n"/>
      <c r="C23" s="30" t="n"/>
      <c r="D23" s="30" t="n"/>
      <c r="E23" s="21" t="n"/>
      <c r="F23" s="21" t="n"/>
      <c r="G23" s="21" t="n"/>
      <c r="H23" s="21" t="n"/>
      <c r="I23" s="21" t="n"/>
      <c r="J23" s="30" t="n"/>
      <c r="K23" s="21" t="n"/>
      <c r="L23" s="21" t="n"/>
    </row>
    <row r="25" ht="76" customHeight="1">
      <c r="A25" s="10" t="inlineStr">
        <is>
          <t>Tres cosas que no se negocian en esta hoja. (1) Por lo menos una vez al año: la periodicidad es anual, no «cuando se pueda» (RCG 39 Bis fr. I). (2) Quien imparta la capacitación debe contar y acreditar experiencia de por lo menos CINCO AÑOS en prevención de lavado de dinero y delitos relacionados; si la columna I dice No, ese curso no le sirve como cumplimiento (RCG 39 Bis fr. III). (3) Los temas deben ser coherentes con los resultados de la metodología de riesgos y adecuarse a las responsabilidades de cada quien (RCG 39 Bis fr. I, último párrafo). La RECC, además, debe recibir capacitación anualmente (L 20 párr. 3). El primer periodo anual corre del 1 de enero al 31 de diciembre de 2027 (RCG Trans. Séptimo).</t>
        </is>
      </c>
    </row>
  </sheetData>
  <mergeCells count="14">
    <mergeCell ref="A2:L2"/>
    <mergeCell ref="E6:F6"/>
    <mergeCell ref="C6:D6"/>
    <mergeCell ref="I6:J6"/>
    <mergeCell ref="A25:L25"/>
    <mergeCell ref="A1:L1"/>
    <mergeCell ref="C5:D5"/>
    <mergeCell ref="A5:B5"/>
    <mergeCell ref="G5:H5"/>
    <mergeCell ref="E5:F5"/>
    <mergeCell ref="I5:J5"/>
    <mergeCell ref="G6:H6"/>
    <mergeCell ref="A6:B6"/>
    <mergeCell ref="A4:L4"/>
  </mergeCells>
  <conditionalFormatting sqref="A6">
    <cfRule type="expression" priority="1" dxfId="1">
      <formula>A6="FALTA"</formula>
    </cfRule>
    <cfRule type="expression" priority="2" dxfId="2">
      <formula>A6="CUBIERTO"</formula>
    </cfRule>
  </conditionalFormatting>
  <conditionalFormatting sqref="C6">
    <cfRule type="expression" priority="3" dxfId="1">
      <formula>C6="FALTA"</formula>
    </cfRule>
    <cfRule type="expression" priority="4" dxfId="2">
      <formula>C6="CUBIERTO"</formula>
    </cfRule>
  </conditionalFormatting>
  <conditionalFormatting sqref="E6">
    <cfRule type="expression" priority="5" dxfId="1">
      <formula>E6="FALTA"</formula>
    </cfRule>
    <cfRule type="expression" priority="6" dxfId="2">
      <formula>E6="CUBIERTO"</formula>
    </cfRule>
  </conditionalFormatting>
  <conditionalFormatting sqref="G6">
    <cfRule type="expression" priority="7" dxfId="1">
      <formula>G6="FALTA"</formula>
    </cfRule>
    <cfRule type="expression" priority="8" dxfId="2">
      <formula>G6="CUBIERTO"</formula>
    </cfRule>
  </conditionalFormatting>
  <conditionalFormatting sqref="I6">
    <cfRule type="expression" priority="9" dxfId="1">
      <formula>I6="FALTA"</formula>
    </cfRule>
    <cfRule type="expression" priority="10" dxfId="2">
      <formula>I6="CUBIERTO"</formula>
    </cfRule>
  </conditionalFormatting>
  <conditionalFormatting sqref="I9:I23">
    <cfRule type="expression" priority="11" dxfId="3">
      <formula>$I9="No"</formula>
    </cfRule>
  </conditionalFormatting>
  <dataValidations count="5">
    <dataValidation sqref="C9:C23" showDropDown="0" showInputMessage="0" showErrorMessage="0" allowBlank="1" errorTitle="Contenido mínimo RCG 39 Bis" error="Elija uno de los cinco contenidos mínimos del RCG 39 Bis. Si su curso cubre otra cosa, es adicional al mínimo: use un renglón aparte." type="list">
      <formula1>$O$8:$O$12</formula1>
    </dataValidation>
    <dataValidation sqref="I9:I23 K9:K23" showDropDown="0" showInputMessage="0" showErrorMessage="0" allowBlank="1" type="list">
      <formula1>"Sí,No"</formula1>
    </dataValidation>
    <dataValidation sqref="E9:E23" showDropDown="0" showInputMessage="0" showErrorMessage="0" allowBlank="1" type="list">
      <formula1>"Presencial,En línea,Mixta,Autoestudio con evaluación"</formula1>
    </dataValidation>
    <dataValidation sqref="G9:G23" showDropDown="0" showInputMessage="0" showErrorMessage="0" allowBlank="1" type="list">
      <formula1>"Enero,Febrero,Marzo,Abril,Mayo,Junio,Julio,Agosto,Septiembre,Octubre,Noviembre,Diciembre"</formula1>
    </dataValidation>
    <dataValidation sqref="L9:L23" showDropDown="0" showInputMessage="0" showErrorMessage="0" allowBlank="1" type="list">
      <formula1>"Programado,Impartido,Evaluado,Evidencia archivada,Pendiente"</formula1>
    </dataValidation>
  </dataValidations>
  <printOptions horizontalCentered="1"/>
  <pageMargins left="0.4" right="0.4" top="0.5" bottom="0.5" header="0.5" footer="0.5"/>
  <pageSetup orientation="landscape" paperSize="1" fitToHeight="0" fitToWidth="1"/>
  <headerFooter>
    <oddHeader/>
    <oddFooter>&amp;L&amp;8 S03_ALU_04 · Programa de capacitación · LFPIORPI&amp;R&amp;8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9"/>
  <sheetViews>
    <sheetView showGridLines="0" workbookViewId="0">
      <pane ySplit="5" topLeftCell="A6" activePane="bottomLeft" state="frozen"/>
      <selection pane="bottomLeft" activeCell="A1" sqref="A1"/>
    </sheetView>
  </sheetViews>
  <sheetFormatPr baseColWidth="8" defaultRowHeight="15"/>
  <cols>
    <col width="44" customWidth="1" min="1" max="1"/>
    <col width="12" customWidth="1" min="2" max="2"/>
    <col width="34" customWidth="1" min="3" max="3"/>
    <col width="24" customWidth="1" min="4" max="4"/>
    <col width="15" customWidth="1" min="5" max="5"/>
    <col width="20" customWidth="1" min="6" max="6"/>
    <col width="40" customWidth="1" min="7" max="7"/>
  </cols>
  <sheetData>
    <row r="1" ht="22" customHeight="1">
      <c r="A1" s="11" t="inlineStr">
        <is>
          <t>4 · EVIDENCIA DE LOS DIEZ AÑOS</t>
        </is>
      </c>
    </row>
    <row r="2" ht="30" customHeight="1">
      <c r="A2" s="12" t="inlineStr">
        <is>
          <t>Conservar por diez años, en forma física o electrónica, la documentación que compruebe que la capacitación se llevó a cabo (RCG 39 Bis 1). La columna F calcula sola la fecha en que ese expediente ya se puede destruir: antes de esa fecha, nada se tira.</t>
        </is>
      </c>
    </row>
    <row r="5" ht="52" customHeight="1">
      <c r="A5" s="15" t="inlineStr">
        <is>
          <t>Documento (RCG 39 Bis 1)</t>
        </is>
      </c>
      <c r="B5" s="15" t="inlineStr">
        <is>
          <t>¿Lo tengo?</t>
        </is>
      </c>
      <c r="C5" s="15" t="inlineStr">
        <is>
          <t>Dónde vive (físico o electrónico)</t>
        </is>
      </c>
      <c r="D5" s="15" t="inlineStr">
        <is>
          <t>Responsable de resguardo</t>
        </is>
      </c>
      <c r="E5" s="15" t="inlineStr">
        <is>
          <t>Fecha del evento</t>
        </is>
      </c>
      <c r="F5" s="15" t="inlineStr">
        <is>
          <t>Fecha en que se puede destruir (evento + 10 años)</t>
        </is>
      </c>
      <c r="G5" s="15" t="inlineStr">
        <is>
          <t>Notas</t>
        </is>
      </c>
    </row>
    <row r="6" ht="32" customHeight="1">
      <c r="A6" s="31" t="inlineStr">
        <is>
          <t>1. Programas de capacitación</t>
        </is>
      </c>
      <c r="B6" s="32" t="n"/>
      <c r="C6" s="30" t="n"/>
      <c r="D6" s="30" t="n"/>
      <c r="E6" s="48" t="n"/>
      <c r="F6" s="49">
        <f>IF($E6="","",EDATE($E6,120))</f>
        <v/>
      </c>
      <c r="G6" s="30" t="n"/>
    </row>
    <row r="7" ht="32" customHeight="1">
      <c r="A7" s="31" t="inlineStr">
        <is>
          <t>2. Talleres</t>
        </is>
      </c>
      <c r="B7" s="32" t="n"/>
      <c r="C7" s="30" t="n"/>
      <c r="D7" s="30" t="n"/>
      <c r="E7" s="48" t="n"/>
      <c r="F7" s="49">
        <f>IF($E7="","",EDATE($E7,120))</f>
        <v/>
      </c>
      <c r="G7" s="30" t="n"/>
    </row>
    <row r="8" ht="32" customHeight="1">
      <c r="A8" s="31" t="inlineStr">
        <is>
          <t>3. Materiales (presentaciones, manuales del curso, guías)</t>
        </is>
      </c>
      <c r="B8" s="32" t="n"/>
      <c r="C8" s="30" t="n"/>
      <c r="D8" s="30" t="n"/>
      <c r="E8" s="48" t="n"/>
      <c r="F8" s="49">
        <f>IF($E8="","",EDATE($E8,120))</f>
        <v/>
      </c>
      <c r="G8" s="30" t="n"/>
    </row>
    <row r="9" ht="32" customHeight="1">
      <c r="A9" s="31" t="inlineStr">
        <is>
          <t>4. Listas de asistencia</t>
        </is>
      </c>
      <c r="B9" s="32" t="n"/>
      <c r="C9" s="30" t="n"/>
      <c r="D9" s="30" t="n"/>
      <c r="E9" s="48" t="n"/>
      <c r="F9" s="49">
        <f>IF($E9="","",EDATE($E9,120))</f>
        <v/>
      </c>
      <c r="G9" s="30" t="n"/>
    </row>
    <row r="10" ht="32" customHeight="1">
      <c r="A10" s="31" t="inlineStr">
        <is>
          <t>5. Evaluaciones aplicadas</t>
        </is>
      </c>
      <c r="B10" s="32" t="n"/>
      <c r="C10" s="30" t="n"/>
      <c r="D10" s="30" t="n"/>
      <c r="E10" s="48" t="n"/>
      <c r="F10" s="49">
        <f>IF($E10="","",EDATE($E10,120))</f>
        <v/>
      </c>
      <c r="G10" s="30" t="n"/>
    </row>
    <row r="11" ht="32" customHeight="1">
      <c r="A11" s="31" t="inlineStr">
        <is>
          <t>6. Constancias expedidas</t>
        </is>
      </c>
      <c r="B11" s="32" t="n"/>
      <c r="C11" s="30" t="n"/>
      <c r="D11" s="30" t="n"/>
      <c r="E11" s="48" t="n"/>
      <c r="F11" s="49">
        <f>IF($E11="","",EDATE($E11,120))</f>
        <v/>
      </c>
      <c r="G11" s="30" t="n"/>
    </row>
    <row r="12" ht="32" customHeight="1">
      <c r="A12" s="31" t="inlineStr">
        <is>
          <t>7. Cualquier otro documento que compruebe que la capacitación se llevó a cabo</t>
        </is>
      </c>
      <c r="B12" s="32" t="n"/>
      <c r="C12" s="30" t="n"/>
      <c r="D12" s="30" t="n"/>
      <c r="E12" s="48" t="n"/>
      <c r="F12" s="49">
        <f>IF($E12="","",EDATE($E12,120))</f>
        <v/>
      </c>
      <c r="G12" s="30" t="n"/>
    </row>
    <row r="13" ht="32" customHeight="1">
      <c r="A13" s="30" t="n"/>
      <c r="B13" s="32" t="n"/>
      <c r="C13" s="30" t="n"/>
      <c r="D13" s="30" t="n"/>
      <c r="E13" s="48" t="n"/>
      <c r="F13" s="49">
        <f>IF($E13="","",EDATE($E13,120))</f>
        <v/>
      </c>
      <c r="G13" s="30" t="n"/>
    </row>
    <row r="14" ht="32" customHeight="1">
      <c r="A14" s="30" t="n"/>
      <c r="B14" s="32" t="n"/>
      <c r="C14" s="30" t="n"/>
      <c r="D14" s="30" t="n"/>
      <c r="E14" s="48" t="n"/>
      <c r="F14" s="49">
        <f>IF($E14="","",EDATE($E14,120))</f>
        <v/>
      </c>
      <c r="G14" s="30" t="n"/>
    </row>
    <row r="15" ht="32" customHeight="1">
      <c r="A15" s="30" t="n"/>
      <c r="B15" s="32" t="n"/>
      <c r="C15" s="30" t="n"/>
      <c r="D15" s="30" t="n"/>
      <c r="E15" s="48" t="n"/>
      <c r="F15" s="49">
        <f>IF($E15="","",EDATE($E15,120))</f>
        <v/>
      </c>
      <c r="G15" s="30" t="n"/>
    </row>
    <row r="16" ht="32" customHeight="1">
      <c r="A16" s="30" t="n"/>
      <c r="B16" s="32" t="n"/>
      <c r="C16" s="30" t="n"/>
      <c r="D16" s="30" t="n"/>
      <c r="E16" s="48" t="n"/>
      <c r="F16" s="49">
        <f>IF($E16="","",EDATE($E16,120))</f>
        <v/>
      </c>
      <c r="G16" s="30" t="n"/>
    </row>
    <row r="17" ht="32" customHeight="1">
      <c r="A17" s="30" t="n"/>
      <c r="B17" s="32" t="n"/>
      <c r="C17" s="30" t="n"/>
      <c r="D17" s="30" t="n"/>
      <c r="E17" s="48" t="n"/>
      <c r="F17" s="49">
        <f>IF($E17="","",EDATE($E17,120))</f>
        <v/>
      </c>
      <c r="G17" s="30" t="n"/>
    </row>
    <row r="19" ht="54" customHeight="1">
      <c r="A19" s="10" t="inlineStr">
        <is>
          <t>Los siete renglones son la lista textual del RCG 39 Bis 1: programas, talleres, materiales, listas de asistencia, evaluaciones, constancias y cualquier otro documento que compruebe que la capacitación se llevó a cabo. Los cinco renglones en blanco son para que usted abra un expediente por evento —un curso, una fecha, una carpeta— y no una sola caja para todo. La fórmula de la columna F es la fecha del evento más 120 meses.</t>
        </is>
      </c>
    </row>
  </sheetData>
  <mergeCells count="3">
    <mergeCell ref="A19:G19"/>
    <mergeCell ref="A2:G2"/>
    <mergeCell ref="A1:G1"/>
  </mergeCells>
  <conditionalFormatting sqref="B6:B17">
    <cfRule type="expression" priority="1" dxfId="3">
      <formula>$B6="No"</formula>
    </cfRule>
  </conditionalFormatting>
  <dataValidations count="1">
    <dataValidation sqref="B6:B17" showDropDown="0" showInputMessage="0" showErrorMessage="0" allowBlank="1" type="list">
      <formula1>"Sí,No,En proceso"</formula1>
    </dataValidation>
  </dataValidations>
  <printOptions horizontalCentered="1"/>
  <pageMargins left="0.4" right="0.4" top="0.5" bottom="0.5" header="0.5" footer="0.5"/>
  <pageSetup orientation="landscape" paperSize="1" fitToHeight="0" fitToWidth="1"/>
  <headerFooter>
    <oddHeader/>
    <oddFooter>&amp;L&amp;8 S03_ALU_04 · Programa de capacitación · LFPIORPI&amp;R&amp;8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39"/>
  <sheetViews>
    <sheetView showGridLines="0" workbookViewId="0">
      <pane ySplit="7" topLeftCell="A8" activePane="bottomLeft" state="frozen"/>
      <selection pane="bottomLeft" activeCell="A1" sqref="A1"/>
    </sheetView>
  </sheetViews>
  <sheetFormatPr baseColWidth="8" defaultRowHeight="15"/>
  <cols>
    <col width="28" customWidth="1" min="1" max="1"/>
    <col width="42" customWidth="1" min="2" max="2"/>
    <col width="13" customWidth="1" min="3" max="3"/>
    <col width="10" customWidth="1" min="4" max="4"/>
    <col width="13" customWidth="1" min="5" max="5"/>
    <col width="12" customWidth="1" min="6" max="6"/>
    <col width="14" customWidth="1" min="7" max="7"/>
    <col width="16" customWidth="1" min="8" max="8"/>
    <col width="46" customWidth="1" min="9" max="9"/>
  </cols>
  <sheetData>
    <row r="1" ht="22" customHeight="1">
      <c r="A1" s="11" t="inlineStr">
        <is>
          <t>5 · CONSTANCIAS Y EVALUACIONES — control por persona y por curso</t>
        </is>
      </c>
    </row>
    <row r="2" ht="30" customHeight="1">
      <c r="A2" s="12" t="inlineStr">
        <is>
          <t>Una línea por persona y por curso. Esta hoja es la que demuestra, ante un requerimiento, que la capacitación no sólo se programó: se impartió, se evaluó y se documentó.</t>
        </is>
      </c>
    </row>
    <row r="4" ht="36" customHeight="1">
      <c r="A4" s="35" t="inlineStr">
        <is>
          <t>LA REGLA, TEXTUAL: para expedir constancias hay que practicar evaluaciones sobre lo aprendido, y el Manual debe establecer qué se hace con quien no obtenga resultado satisfactorio.  (RCG 39 Bis 1)</t>
        </is>
      </c>
      <c r="B4" s="36" t="n"/>
      <c r="C4" s="36" t="n"/>
      <c r="D4" s="36" t="n"/>
      <c r="E4" s="36" t="n"/>
      <c r="F4" s="36" t="n"/>
      <c r="G4" s="36" t="n"/>
      <c r="H4" s="36" t="n"/>
      <c r="I4" s="25" t="n"/>
    </row>
    <row r="5" ht="30" customHeight="1">
      <c r="A5" s="37" t="inlineStr">
        <is>
          <t>Calificación mínima aprobatoria que fija su Manual:</t>
        </is>
      </c>
      <c r="E5" s="38" t="n">
        <v>80</v>
      </c>
      <c r="F5" s="10" t="inlineStr">
        <is>
          <t>La norma no fija una calificación mínima: la fija su Manual. Cambie este número y la columna «¿Aprobó?» se recalcula sola.</t>
        </is>
      </c>
    </row>
    <row r="7" ht="50" customHeight="1">
      <c r="A7" s="15" t="inlineStr">
        <is>
          <t>Persona</t>
        </is>
      </c>
      <c r="B7" s="15" t="inlineStr">
        <is>
          <t>Curso</t>
        </is>
      </c>
      <c r="C7" s="15" t="inlineStr">
        <is>
          <t>Fecha</t>
        </is>
      </c>
      <c r="D7" s="15" t="inlineStr">
        <is>
          <t>Asistió</t>
        </is>
      </c>
      <c r="E7" s="15" t="inlineStr">
        <is>
          <t>Calificación</t>
        </is>
      </c>
      <c r="F7" s="15" t="inlineStr">
        <is>
          <t>¿Aprobó?</t>
        </is>
      </c>
      <c r="G7" s="15" t="inlineStr">
        <is>
          <t>Constancia expedida</t>
        </is>
      </c>
      <c r="H7" s="15" t="inlineStr">
        <is>
          <t>Folio</t>
        </is>
      </c>
      <c r="I7" s="15" t="inlineStr">
        <is>
          <t>Medida aplicada si no aprobó (la que establece el Manual · RCG 39 Bis 1)</t>
        </is>
      </c>
    </row>
    <row r="8" ht="28" customHeight="1">
      <c r="A8" s="30" t="n"/>
      <c r="B8" s="30" t="n"/>
      <c r="C8" s="47" t="n"/>
      <c r="D8" s="21" t="n"/>
      <c r="E8" s="21" t="n"/>
      <c r="F8" s="39">
        <f>IF($E8="","",IF($E8&gt;=$E$5,"Sí","No"))</f>
        <v/>
      </c>
      <c r="G8" s="21" t="n"/>
      <c r="H8" s="21" t="n"/>
      <c r="I8" s="30" t="n"/>
    </row>
    <row r="9" ht="28" customHeight="1">
      <c r="A9" s="30" t="n"/>
      <c r="B9" s="30" t="n"/>
      <c r="C9" s="47" t="n"/>
      <c r="D9" s="21" t="n"/>
      <c r="E9" s="21" t="n"/>
      <c r="F9" s="39">
        <f>IF($E9="","",IF($E9&gt;=$E$5,"Sí","No"))</f>
        <v/>
      </c>
      <c r="G9" s="21" t="n"/>
      <c r="H9" s="21" t="n"/>
      <c r="I9" s="30" t="n"/>
    </row>
    <row r="10" ht="28" customHeight="1">
      <c r="A10" s="30" t="n"/>
      <c r="B10" s="30" t="n"/>
      <c r="C10" s="47" t="n"/>
      <c r="D10" s="21" t="n"/>
      <c r="E10" s="21" t="n"/>
      <c r="F10" s="39">
        <f>IF($E10="","",IF($E10&gt;=$E$5,"Sí","No"))</f>
        <v/>
      </c>
      <c r="G10" s="21" t="n"/>
      <c r="H10" s="21" t="n"/>
      <c r="I10" s="30" t="n"/>
    </row>
    <row r="11" ht="28" customHeight="1">
      <c r="A11" s="30" t="n"/>
      <c r="B11" s="30" t="n"/>
      <c r="C11" s="47" t="n"/>
      <c r="D11" s="21" t="n"/>
      <c r="E11" s="21" t="n"/>
      <c r="F11" s="39">
        <f>IF($E11="","",IF($E11&gt;=$E$5,"Sí","No"))</f>
        <v/>
      </c>
      <c r="G11" s="21" t="n"/>
      <c r="H11" s="21" t="n"/>
      <c r="I11" s="30" t="n"/>
    </row>
    <row r="12" ht="28" customHeight="1">
      <c r="A12" s="30" t="n"/>
      <c r="B12" s="30" t="n"/>
      <c r="C12" s="47" t="n"/>
      <c r="D12" s="21" t="n"/>
      <c r="E12" s="21" t="n"/>
      <c r="F12" s="39">
        <f>IF($E12="","",IF($E12&gt;=$E$5,"Sí","No"))</f>
        <v/>
      </c>
      <c r="G12" s="21" t="n"/>
      <c r="H12" s="21" t="n"/>
      <c r="I12" s="30" t="n"/>
    </row>
    <row r="13" ht="28" customHeight="1">
      <c r="A13" s="30" t="n"/>
      <c r="B13" s="30" t="n"/>
      <c r="C13" s="47" t="n"/>
      <c r="D13" s="21" t="n"/>
      <c r="E13" s="21" t="n"/>
      <c r="F13" s="39">
        <f>IF($E13="","",IF($E13&gt;=$E$5,"Sí","No"))</f>
        <v/>
      </c>
      <c r="G13" s="21" t="n"/>
      <c r="H13" s="21" t="n"/>
      <c r="I13" s="30" t="n"/>
    </row>
    <row r="14" ht="28" customHeight="1">
      <c r="A14" s="30" t="n"/>
      <c r="B14" s="30" t="n"/>
      <c r="C14" s="47" t="n"/>
      <c r="D14" s="21" t="n"/>
      <c r="E14" s="21" t="n"/>
      <c r="F14" s="39">
        <f>IF($E14="","",IF($E14&gt;=$E$5,"Sí","No"))</f>
        <v/>
      </c>
      <c r="G14" s="21" t="n"/>
      <c r="H14" s="21" t="n"/>
      <c r="I14" s="30" t="n"/>
    </row>
    <row r="15" ht="28" customHeight="1">
      <c r="A15" s="30" t="n"/>
      <c r="B15" s="30" t="n"/>
      <c r="C15" s="47" t="n"/>
      <c r="D15" s="21" t="n"/>
      <c r="E15" s="21" t="n"/>
      <c r="F15" s="39">
        <f>IF($E15="","",IF($E15&gt;=$E$5,"Sí","No"))</f>
        <v/>
      </c>
      <c r="G15" s="21" t="n"/>
      <c r="H15" s="21" t="n"/>
      <c r="I15" s="30" t="n"/>
    </row>
    <row r="16" ht="28" customHeight="1">
      <c r="A16" s="30" t="n"/>
      <c r="B16" s="30" t="n"/>
      <c r="C16" s="47" t="n"/>
      <c r="D16" s="21" t="n"/>
      <c r="E16" s="21" t="n"/>
      <c r="F16" s="39">
        <f>IF($E16="","",IF($E16&gt;=$E$5,"Sí","No"))</f>
        <v/>
      </c>
      <c r="G16" s="21" t="n"/>
      <c r="H16" s="21" t="n"/>
      <c r="I16" s="30" t="n"/>
    </row>
    <row r="17" ht="28" customHeight="1">
      <c r="A17" s="30" t="n"/>
      <c r="B17" s="30" t="n"/>
      <c r="C17" s="47" t="n"/>
      <c r="D17" s="21" t="n"/>
      <c r="E17" s="21" t="n"/>
      <c r="F17" s="39">
        <f>IF($E17="","",IF($E17&gt;=$E$5,"Sí","No"))</f>
        <v/>
      </c>
      <c r="G17" s="21" t="n"/>
      <c r="H17" s="21" t="n"/>
      <c r="I17" s="30" t="n"/>
    </row>
    <row r="18" ht="28" customHeight="1">
      <c r="A18" s="30" t="n"/>
      <c r="B18" s="30" t="n"/>
      <c r="C18" s="47" t="n"/>
      <c r="D18" s="21" t="n"/>
      <c r="E18" s="21" t="n"/>
      <c r="F18" s="39">
        <f>IF($E18="","",IF($E18&gt;=$E$5,"Sí","No"))</f>
        <v/>
      </c>
      <c r="G18" s="21" t="n"/>
      <c r="H18" s="21" t="n"/>
      <c r="I18" s="30" t="n"/>
    </row>
    <row r="19" ht="28" customHeight="1">
      <c r="A19" s="30" t="n"/>
      <c r="B19" s="30" t="n"/>
      <c r="C19" s="47" t="n"/>
      <c r="D19" s="21" t="n"/>
      <c r="E19" s="21" t="n"/>
      <c r="F19" s="39">
        <f>IF($E19="","",IF($E19&gt;=$E$5,"Sí","No"))</f>
        <v/>
      </c>
      <c r="G19" s="21" t="n"/>
      <c r="H19" s="21" t="n"/>
      <c r="I19" s="30" t="n"/>
    </row>
    <row r="20" ht="28" customHeight="1">
      <c r="A20" s="30" t="n"/>
      <c r="B20" s="30" t="n"/>
      <c r="C20" s="47" t="n"/>
      <c r="D20" s="21" t="n"/>
      <c r="E20" s="21" t="n"/>
      <c r="F20" s="39">
        <f>IF($E20="","",IF($E20&gt;=$E$5,"Sí","No"))</f>
        <v/>
      </c>
      <c r="G20" s="21" t="n"/>
      <c r="H20" s="21" t="n"/>
      <c r="I20" s="30" t="n"/>
    </row>
    <row r="21" ht="28" customHeight="1">
      <c r="A21" s="30" t="n"/>
      <c r="B21" s="30" t="n"/>
      <c r="C21" s="47" t="n"/>
      <c r="D21" s="21" t="n"/>
      <c r="E21" s="21" t="n"/>
      <c r="F21" s="39">
        <f>IF($E21="","",IF($E21&gt;=$E$5,"Sí","No"))</f>
        <v/>
      </c>
      <c r="G21" s="21" t="n"/>
      <c r="H21" s="21" t="n"/>
      <c r="I21" s="30" t="n"/>
    </row>
    <row r="22" ht="28" customHeight="1">
      <c r="A22" s="30" t="n"/>
      <c r="B22" s="30" t="n"/>
      <c r="C22" s="47" t="n"/>
      <c r="D22" s="21" t="n"/>
      <c r="E22" s="21" t="n"/>
      <c r="F22" s="39">
        <f>IF($E22="","",IF($E22&gt;=$E$5,"Sí","No"))</f>
        <v/>
      </c>
      <c r="G22" s="21" t="n"/>
      <c r="H22" s="21" t="n"/>
      <c r="I22" s="30" t="n"/>
    </row>
    <row r="23" ht="28" customHeight="1">
      <c r="A23" s="30" t="n"/>
      <c r="B23" s="30" t="n"/>
      <c r="C23" s="47" t="n"/>
      <c r="D23" s="21" t="n"/>
      <c r="E23" s="21" t="n"/>
      <c r="F23" s="39">
        <f>IF($E23="","",IF($E23&gt;=$E$5,"Sí","No"))</f>
        <v/>
      </c>
      <c r="G23" s="21" t="n"/>
      <c r="H23" s="21" t="n"/>
      <c r="I23" s="30" t="n"/>
    </row>
    <row r="24" ht="28" customHeight="1">
      <c r="A24" s="30" t="n"/>
      <c r="B24" s="30" t="n"/>
      <c r="C24" s="47" t="n"/>
      <c r="D24" s="21" t="n"/>
      <c r="E24" s="21" t="n"/>
      <c r="F24" s="39">
        <f>IF($E24="","",IF($E24&gt;=$E$5,"Sí","No"))</f>
        <v/>
      </c>
      <c r="G24" s="21" t="n"/>
      <c r="H24" s="21" t="n"/>
      <c r="I24" s="30" t="n"/>
    </row>
    <row r="25" ht="28" customHeight="1">
      <c r="A25" s="30" t="n"/>
      <c r="B25" s="30" t="n"/>
      <c r="C25" s="47" t="n"/>
      <c r="D25" s="21" t="n"/>
      <c r="E25" s="21" t="n"/>
      <c r="F25" s="39">
        <f>IF($E25="","",IF($E25&gt;=$E$5,"Sí","No"))</f>
        <v/>
      </c>
      <c r="G25" s="21" t="n"/>
      <c r="H25" s="21" t="n"/>
      <c r="I25" s="30" t="n"/>
    </row>
    <row r="26" ht="28" customHeight="1">
      <c r="A26" s="30" t="n"/>
      <c r="B26" s="30" t="n"/>
      <c r="C26" s="47" t="n"/>
      <c r="D26" s="21" t="n"/>
      <c r="E26" s="21" t="n"/>
      <c r="F26" s="39">
        <f>IF($E26="","",IF($E26&gt;=$E$5,"Sí","No"))</f>
        <v/>
      </c>
      <c r="G26" s="21" t="n"/>
      <c r="H26" s="21" t="n"/>
      <c r="I26" s="30" t="n"/>
    </row>
    <row r="27" ht="28" customHeight="1">
      <c r="A27" s="30" t="n"/>
      <c r="B27" s="30" t="n"/>
      <c r="C27" s="47" t="n"/>
      <c r="D27" s="21" t="n"/>
      <c r="E27" s="21" t="n"/>
      <c r="F27" s="39">
        <f>IF($E27="","",IF($E27&gt;=$E$5,"Sí","No"))</f>
        <v/>
      </c>
      <c r="G27" s="21" t="n"/>
      <c r="H27" s="21" t="n"/>
      <c r="I27" s="30" t="n"/>
    </row>
    <row r="28" ht="28" customHeight="1">
      <c r="A28" s="30" t="n"/>
      <c r="B28" s="30" t="n"/>
      <c r="C28" s="47" t="n"/>
      <c r="D28" s="21" t="n"/>
      <c r="E28" s="21" t="n"/>
      <c r="F28" s="39">
        <f>IF($E28="","",IF($E28&gt;=$E$5,"Sí","No"))</f>
        <v/>
      </c>
      <c r="G28" s="21" t="n"/>
      <c r="H28" s="21" t="n"/>
      <c r="I28" s="30" t="n"/>
    </row>
    <row r="29" ht="28" customHeight="1">
      <c r="A29" s="30" t="n"/>
      <c r="B29" s="30" t="n"/>
      <c r="C29" s="47" t="n"/>
      <c r="D29" s="21" t="n"/>
      <c r="E29" s="21" t="n"/>
      <c r="F29" s="39">
        <f>IF($E29="","",IF($E29&gt;=$E$5,"Sí","No"))</f>
        <v/>
      </c>
      <c r="G29" s="21" t="n"/>
      <c r="H29" s="21" t="n"/>
      <c r="I29" s="30" t="n"/>
    </row>
    <row r="30" ht="28" customHeight="1">
      <c r="A30" s="30" t="n"/>
      <c r="B30" s="30" t="n"/>
      <c r="C30" s="47" t="n"/>
      <c r="D30" s="21" t="n"/>
      <c r="E30" s="21" t="n"/>
      <c r="F30" s="39">
        <f>IF($E30="","",IF($E30&gt;=$E$5,"Sí","No"))</f>
        <v/>
      </c>
      <c r="G30" s="21" t="n"/>
      <c r="H30" s="21" t="n"/>
      <c r="I30" s="30" t="n"/>
    </row>
    <row r="31" ht="28" customHeight="1">
      <c r="A31" s="30" t="n"/>
      <c r="B31" s="30" t="n"/>
      <c r="C31" s="47" t="n"/>
      <c r="D31" s="21" t="n"/>
      <c r="E31" s="21" t="n"/>
      <c r="F31" s="39">
        <f>IF($E31="","",IF($E31&gt;=$E$5,"Sí","No"))</f>
        <v/>
      </c>
      <c r="G31" s="21" t="n"/>
      <c r="H31" s="21" t="n"/>
      <c r="I31" s="30" t="n"/>
    </row>
    <row r="32" ht="28" customHeight="1">
      <c r="A32" s="30" t="n"/>
      <c r="B32" s="30" t="n"/>
      <c r="C32" s="47" t="n"/>
      <c r="D32" s="21" t="n"/>
      <c r="E32" s="21" t="n"/>
      <c r="F32" s="39">
        <f>IF($E32="","",IF($E32&gt;=$E$5,"Sí","No"))</f>
        <v/>
      </c>
      <c r="G32" s="21" t="n"/>
      <c r="H32" s="21" t="n"/>
      <c r="I32" s="30" t="n"/>
    </row>
    <row r="33" ht="28" customHeight="1">
      <c r="A33" s="30" t="n"/>
      <c r="B33" s="30" t="n"/>
      <c r="C33" s="47" t="n"/>
      <c r="D33" s="21" t="n"/>
      <c r="E33" s="21" t="n"/>
      <c r="F33" s="39">
        <f>IF($E33="","",IF($E33&gt;=$E$5,"Sí","No"))</f>
        <v/>
      </c>
      <c r="G33" s="21" t="n"/>
      <c r="H33" s="21" t="n"/>
      <c r="I33" s="30" t="n"/>
    </row>
    <row r="34" ht="28" customHeight="1">
      <c r="A34" s="30" t="n"/>
      <c r="B34" s="30" t="n"/>
      <c r="C34" s="47" t="n"/>
      <c r="D34" s="21" t="n"/>
      <c r="E34" s="21" t="n"/>
      <c r="F34" s="39">
        <f>IF($E34="","",IF($E34&gt;=$E$5,"Sí","No"))</f>
        <v/>
      </c>
      <c r="G34" s="21" t="n"/>
      <c r="H34" s="21" t="n"/>
      <c r="I34" s="30" t="n"/>
    </row>
    <row r="35" ht="28" customHeight="1">
      <c r="A35" s="30" t="n"/>
      <c r="B35" s="30" t="n"/>
      <c r="C35" s="47" t="n"/>
      <c r="D35" s="21" t="n"/>
      <c r="E35" s="21" t="n"/>
      <c r="F35" s="39">
        <f>IF($E35="","",IF($E35&gt;=$E$5,"Sí","No"))</f>
        <v/>
      </c>
      <c r="G35" s="21" t="n"/>
      <c r="H35" s="21" t="n"/>
      <c r="I35" s="30" t="n"/>
    </row>
    <row r="36" ht="28" customHeight="1">
      <c r="A36" s="30" t="n"/>
      <c r="B36" s="30" t="n"/>
      <c r="C36" s="47" t="n"/>
      <c r="D36" s="21" t="n"/>
      <c r="E36" s="21" t="n"/>
      <c r="F36" s="39">
        <f>IF($E36="","",IF($E36&gt;=$E$5,"Sí","No"))</f>
        <v/>
      </c>
      <c r="G36" s="21" t="n"/>
      <c r="H36" s="21" t="n"/>
      <c r="I36" s="30" t="n"/>
    </row>
    <row r="37" ht="28" customHeight="1">
      <c r="A37" s="30" t="n"/>
      <c r="B37" s="30" t="n"/>
      <c r="C37" s="47" t="n"/>
      <c r="D37" s="21" t="n"/>
      <c r="E37" s="21" t="n"/>
      <c r="F37" s="39">
        <f>IF($E37="","",IF($E37&gt;=$E$5,"Sí","No"))</f>
        <v/>
      </c>
      <c r="G37" s="21" t="n"/>
      <c r="H37" s="21" t="n"/>
      <c r="I37" s="30" t="n"/>
    </row>
    <row r="39" ht="50" customHeight="1">
      <c r="A39" s="10" t="inlineStr">
        <is>
          <t>Si la celda de «Constancia expedida» se pinta en rojo es porque dice Sí y no hay calificación capturada: constancia sin evaluación previa. Si «¿Aprobó?» sale No, la columna I no puede quedar vacía —esa medida la define su Manual, y que exista esa medida es en sí mismo un requisito (RCG 39 Bis 1)—. Todas las evaluaciones y constancias de esta hoja se conservan diez años.</t>
        </is>
      </c>
    </row>
  </sheetData>
  <mergeCells count="6">
    <mergeCell ref="A5:D5"/>
    <mergeCell ref="A2:I2"/>
    <mergeCell ref="A1:I1"/>
    <mergeCell ref="A39:I39"/>
    <mergeCell ref="F5:I5"/>
    <mergeCell ref="A4:I4"/>
  </mergeCells>
  <conditionalFormatting sqref="G8:G37">
    <cfRule type="expression" priority="1" dxfId="3">
      <formula>AND($G8="Sí",$E8="")</formula>
    </cfRule>
  </conditionalFormatting>
  <conditionalFormatting sqref="F8:F37">
    <cfRule type="expression" priority="2" dxfId="3">
      <formula>$F8="No"</formula>
    </cfRule>
  </conditionalFormatting>
  <dataValidations count="1">
    <dataValidation sqref="D8:D37 G8:G37" showDropDown="0" showInputMessage="0" showErrorMessage="0" allowBlank="1" type="list">
      <formula1>"Sí,No"</formula1>
    </dataValidation>
  </dataValidations>
  <printOptions horizontalCentered="1"/>
  <pageMargins left="0.4" right="0.4" top="0.5" bottom="0.5" header="0.5" footer="0.5"/>
  <pageSetup orientation="landscape" paperSize="1" fitToHeight="0" fitToWidth="1"/>
  <headerFooter>
    <oddHeader/>
    <oddFooter>&amp;L&amp;8 S03_ALU_04 · Programa de capacitación · LFPIORPI&amp;R&amp;8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38"/>
  <sheetViews>
    <sheetView showGridLines="0" workbookViewId="0">
      <pane ySplit="18" topLeftCell="A19" activePane="bottomLeft" state="frozen"/>
      <selection pane="bottomLeft" activeCell="A1" sqref="A1"/>
    </sheetView>
  </sheetViews>
  <sheetFormatPr baseColWidth="8" defaultRowHeight="15"/>
  <cols>
    <col width="30" customWidth="1" min="1" max="1"/>
    <col width="20" customWidth="1" min="2" max="2"/>
    <col width="34" customWidth="1" min="3" max="3"/>
    <col width="34" customWidth="1" min="4" max="4"/>
    <col width="13" customWidth="1" min="5" max="5"/>
    <col width="34" customWidth="1" min="6" max="6"/>
  </cols>
  <sheetData>
    <row r="1" ht="22" customHeight="1">
      <c r="A1" s="11" t="inlineStr">
        <is>
          <t>6 · SELECCIÓN DE PERSONAL — la declaración firmada</t>
        </is>
      </c>
    </row>
    <row r="2" ht="30" customHeight="1">
      <c r="A2" s="12" t="inlineStr">
        <is>
          <t>Procedimientos que garanticen calidad técnica, experiencia y honorabilidad del personal, y declaración firmada de cada funcionario o empleado (RCG 39 Bis 2).</t>
        </is>
      </c>
    </row>
    <row r="4" ht="32" customHeight="1">
      <c r="A4" s="35" t="inlineStr">
        <is>
          <t>VIGENCIA: los procedimientos de selección de personal aplican respecto de las NUEVAS CONTRATACIONES que se realicen a partir del 1 DE MARZO DE 2027. (RCG Trans. Sexto)</t>
        </is>
      </c>
      <c r="B4" s="36" t="n"/>
      <c r="C4" s="36" t="n"/>
      <c r="D4" s="36" t="n"/>
      <c r="E4" s="36" t="n"/>
      <c r="F4" s="25" t="n"/>
    </row>
    <row r="6" ht="22" customHeight="1">
      <c r="A6" s="15" t="inlineStr">
        <is>
          <t>TEXTO MODELO DE LA DECLARACIÓN — cópielo a papel membretado</t>
        </is>
      </c>
      <c r="B6" s="36" t="n"/>
      <c r="C6" s="36" t="n"/>
      <c r="D6" s="36" t="n"/>
      <c r="E6" s="36" t="n"/>
      <c r="F6" s="25" t="n"/>
    </row>
    <row r="7" ht="36" customHeight="1">
      <c r="A7" s="5" t="inlineStr">
        <is>
          <t>DECLARACIÓN DE SELECCIÓN DE PERSONAL
(Artículo 39 Bis 2 de las Reglas de Carácter General a que se refiere la LFPIORPI)</t>
        </is>
      </c>
      <c r="B7" s="36" t="n"/>
      <c r="C7" s="36" t="n"/>
      <c r="D7" s="36" t="n"/>
      <c r="E7" s="36" t="n"/>
      <c r="F7" s="25" t="n"/>
    </row>
    <row r="8" ht="22" customHeight="1">
      <c r="A8" s="5" t="inlineStr">
        <is>
          <t>____________________, a ____ de ______________ de 20____.</t>
        </is>
      </c>
      <c r="B8" s="36" t="n"/>
      <c r="C8" s="36" t="n"/>
      <c r="D8" s="36" t="n"/>
      <c r="E8" s="36" t="n"/>
      <c r="F8" s="25" t="n"/>
    </row>
    <row r="9" ht="36" customHeight="1">
      <c r="A9" s="5" t="inlineStr">
        <is>
          <t>[NOMBRE O RAZÓN SOCIAL DE QUIEN REALIZA LA ACTIVIDAD VULNERABLE]
P R E S E N T E.</t>
        </is>
      </c>
      <c r="B9" s="36" t="n"/>
      <c r="C9" s="36" t="n"/>
      <c r="D9" s="36" t="n"/>
      <c r="E9" s="36" t="n"/>
      <c r="F9" s="25" t="n"/>
    </row>
    <row r="10" ht="50" customHeight="1">
      <c r="A10" s="5" t="inlineStr">
        <is>
          <t>Yo, ____________________________________, en mi carácter de ________________________________ [funcionario / empleado], con motivo de mi incorporación al personal de quien realiza la Actividad Vulnerable señalada al rubro, y para efecto de los procedimientos de selección de personal que garantizan calidad técnica, experiencia y honorabilidad, bajo protesta de decir verdad DECLARO:</t>
        </is>
      </c>
      <c r="B10" s="36" t="n"/>
      <c r="C10" s="36" t="n"/>
      <c r="D10" s="36" t="n"/>
      <c r="E10" s="36" t="n"/>
      <c r="F10" s="25" t="n"/>
    </row>
    <row r="11" ht="78" customHeight="1">
      <c r="A11" s="5" t="inlineStr">
        <is>
          <t>PRIMERA (fracción I). Que los otros sectores sujetos a la Ley Federal para la Prevención e Identificación de Operaciones con Recursos de Procedencia Ilícita en los que he laborado son los siguientes:
_______________________________________________________________________________
_______________________________________________________________________________
(Si no he laborado en ningún otro sector sujeto a la Ley, así lo manifiesto expresamente: ____ NO APLICA.)</t>
        </is>
      </c>
      <c r="B11" s="36" t="n"/>
      <c r="C11" s="36" t="n"/>
      <c r="D11" s="36" t="n"/>
      <c r="E11" s="36" t="n"/>
      <c r="F11" s="25" t="n"/>
    </row>
    <row r="12" ht="36" customHeight="1">
      <c r="A12" s="5" t="inlineStr">
        <is>
          <t>SEGUNDA (fracción II). Que no he sido sentenciado por delitos patrimoniales ni inhabilitado para ejercer el comercio o para desempeñar un empleo, cargo o comisión en el servicio público, o en el sistema financiero.</t>
        </is>
      </c>
      <c r="B12" s="36" t="n"/>
      <c r="C12" s="36" t="n"/>
      <c r="D12" s="36" t="n"/>
      <c r="E12" s="36" t="n"/>
      <c r="F12" s="25" t="n"/>
    </row>
    <row r="13" ht="36" customHeight="1">
      <c r="A13" s="5" t="inlineStr">
        <is>
          <t>Manifiesto que lo declarado es cierto, que conozco las consecuencias de declarar con falsedad y que me obligo a informar por escrito, de manera inmediata, cualquier hecho superveniente que modifique lo aquí declarado.</t>
        </is>
      </c>
      <c r="B13" s="36" t="n"/>
      <c r="C13" s="36" t="n"/>
      <c r="D13" s="36" t="n"/>
      <c r="E13" s="36" t="n"/>
      <c r="F13" s="25" t="n"/>
    </row>
    <row r="14" ht="64" customHeight="1">
      <c r="A14" s="5" t="inlineStr">
        <is>
          <t xml:space="preserve">
_______________________________________
Nombre y firma autógrafa de la persona declarante
</t>
        </is>
      </c>
      <c r="B14" s="36" t="n"/>
      <c r="C14" s="36" t="n"/>
      <c r="D14" s="36" t="n"/>
      <c r="E14" s="36" t="n"/>
      <c r="F14" s="25" t="n"/>
    </row>
    <row r="15" ht="62" customHeight="1">
      <c r="A15" s="10" t="inlineStr">
        <is>
          <t>Las dos fracciones de arriba son, textualmente, el contenido mínimo que exige el RCG 39 Bis 2: I. otros sectores sujetos a la Ley en los que haya laborado; II. que no ha sido sentenciado por delitos patrimoniales ni inhabilitado para ejercer el comercio o para desempeñar empleo, cargo o comisión en el servicio público o en el sistema financiero. Usted puede pedir más datos, nunca menos. Los procedimientos de selección y las medidas aplicables al personal que deje de tener calidad técnica u honorabilidad van en el Manual o en otro documento (RCG 39 Bis 2).</t>
        </is>
      </c>
    </row>
    <row r="17">
      <c r="A17" s="40" t="inlineStr">
        <is>
          <t>CONTROL DE DECLARACIONES RECABADAS</t>
        </is>
      </c>
    </row>
    <row r="18" ht="62" customHeight="1">
      <c r="A18" s="15" t="inlineStr">
        <is>
          <t>Persona</t>
        </is>
      </c>
      <c r="B18" s="15" t="inlineStr">
        <is>
          <t>Fecha de la declaración</t>
        </is>
      </c>
      <c r="C18" s="15" t="inlineStr">
        <is>
          <t>Fr. I · Sectores previos sujetos a la Ley en los que laboró</t>
        </is>
      </c>
      <c r="D18" s="15" t="inlineStr">
        <is>
          <t>Fr. II · Declara no haber sido sentenciado por delitos patrimoniales ni inhabilitado</t>
        </is>
      </c>
      <c r="E18" s="15" t="inlineStr">
        <is>
          <t>¿Firmada?</t>
        </is>
      </c>
      <c r="F18" s="15" t="inlineStr">
        <is>
          <t>Dónde se resguarda</t>
        </is>
      </c>
    </row>
    <row r="19" ht="28" customHeight="1">
      <c r="A19" s="30" t="n"/>
      <c r="B19" s="47" t="n"/>
      <c r="C19" s="30" t="n"/>
      <c r="D19" s="30" t="n"/>
      <c r="E19" s="21" t="n"/>
      <c r="F19" s="30" t="n"/>
    </row>
    <row r="20" ht="28" customHeight="1">
      <c r="A20" s="30" t="n"/>
      <c r="B20" s="47" t="n"/>
      <c r="C20" s="30" t="n"/>
      <c r="D20" s="30" t="n"/>
      <c r="E20" s="21" t="n"/>
      <c r="F20" s="30" t="n"/>
    </row>
    <row r="21" ht="28" customHeight="1">
      <c r="A21" s="30" t="n"/>
      <c r="B21" s="47" t="n"/>
      <c r="C21" s="30" t="n"/>
      <c r="D21" s="30" t="n"/>
      <c r="E21" s="21" t="n"/>
      <c r="F21" s="30" t="n"/>
    </row>
    <row r="22" ht="28" customHeight="1">
      <c r="A22" s="30" t="n"/>
      <c r="B22" s="47" t="n"/>
      <c r="C22" s="30" t="n"/>
      <c r="D22" s="30" t="n"/>
      <c r="E22" s="21" t="n"/>
      <c r="F22" s="30" t="n"/>
    </row>
    <row r="23" ht="28" customHeight="1">
      <c r="A23" s="30" t="n"/>
      <c r="B23" s="47" t="n"/>
      <c r="C23" s="30" t="n"/>
      <c r="D23" s="30" t="n"/>
      <c r="E23" s="21" t="n"/>
      <c r="F23" s="30" t="n"/>
    </row>
    <row r="24" ht="28" customHeight="1">
      <c r="A24" s="30" t="n"/>
      <c r="B24" s="47" t="n"/>
      <c r="C24" s="30" t="n"/>
      <c r="D24" s="30" t="n"/>
      <c r="E24" s="21" t="n"/>
      <c r="F24" s="30" t="n"/>
    </row>
    <row r="25" ht="28" customHeight="1">
      <c r="A25" s="30" t="n"/>
      <c r="B25" s="47" t="n"/>
      <c r="C25" s="30" t="n"/>
      <c r="D25" s="30" t="n"/>
      <c r="E25" s="21" t="n"/>
      <c r="F25" s="30" t="n"/>
    </row>
    <row r="26" ht="28" customHeight="1">
      <c r="A26" s="30" t="n"/>
      <c r="B26" s="47" t="n"/>
      <c r="C26" s="30" t="n"/>
      <c r="D26" s="30" t="n"/>
      <c r="E26" s="21" t="n"/>
      <c r="F26" s="30" t="n"/>
    </row>
    <row r="27" ht="28" customHeight="1">
      <c r="A27" s="30" t="n"/>
      <c r="B27" s="47" t="n"/>
      <c r="C27" s="30" t="n"/>
      <c r="D27" s="30" t="n"/>
      <c r="E27" s="21" t="n"/>
      <c r="F27" s="30" t="n"/>
    </row>
    <row r="28" ht="28" customHeight="1">
      <c r="A28" s="30" t="n"/>
      <c r="B28" s="47" t="n"/>
      <c r="C28" s="30" t="n"/>
      <c r="D28" s="30" t="n"/>
      <c r="E28" s="21" t="n"/>
      <c r="F28" s="30" t="n"/>
    </row>
    <row r="29" ht="28" customHeight="1">
      <c r="A29" s="30" t="n"/>
      <c r="B29" s="47" t="n"/>
      <c r="C29" s="30" t="n"/>
      <c r="D29" s="30" t="n"/>
      <c r="E29" s="21" t="n"/>
      <c r="F29" s="30" t="n"/>
    </row>
    <row r="30" ht="28" customHeight="1">
      <c r="A30" s="30" t="n"/>
      <c r="B30" s="47" t="n"/>
      <c r="C30" s="30" t="n"/>
      <c r="D30" s="30" t="n"/>
      <c r="E30" s="21" t="n"/>
      <c r="F30" s="30" t="n"/>
    </row>
    <row r="31" ht="28" customHeight="1">
      <c r="A31" s="30" t="n"/>
      <c r="B31" s="47" t="n"/>
      <c r="C31" s="30" t="n"/>
      <c r="D31" s="30" t="n"/>
      <c r="E31" s="21" t="n"/>
      <c r="F31" s="30" t="n"/>
    </row>
    <row r="32" ht="28" customHeight="1">
      <c r="A32" s="30" t="n"/>
      <c r="B32" s="47" t="n"/>
      <c r="C32" s="30" t="n"/>
      <c r="D32" s="30" t="n"/>
      <c r="E32" s="21" t="n"/>
      <c r="F32" s="30" t="n"/>
    </row>
    <row r="33" ht="28" customHeight="1">
      <c r="A33" s="30" t="n"/>
      <c r="B33" s="47" t="n"/>
      <c r="C33" s="30" t="n"/>
      <c r="D33" s="30" t="n"/>
      <c r="E33" s="21" t="n"/>
      <c r="F33" s="30" t="n"/>
    </row>
    <row r="34" ht="28" customHeight="1">
      <c r="A34" s="30" t="n"/>
      <c r="B34" s="47" t="n"/>
      <c r="C34" s="30" t="n"/>
      <c r="D34" s="30" t="n"/>
      <c r="E34" s="21" t="n"/>
      <c r="F34" s="30" t="n"/>
    </row>
    <row r="35" ht="28" customHeight="1">
      <c r="A35" s="30" t="n"/>
      <c r="B35" s="47" t="n"/>
      <c r="C35" s="30" t="n"/>
      <c r="D35" s="30" t="n"/>
      <c r="E35" s="21" t="n"/>
      <c r="F35" s="30" t="n"/>
    </row>
    <row r="36" ht="28" customHeight="1">
      <c r="A36" s="30" t="n"/>
      <c r="B36" s="47" t="n"/>
      <c r="C36" s="30" t="n"/>
      <c r="D36" s="30" t="n"/>
      <c r="E36" s="21" t="n"/>
      <c r="F36" s="30" t="n"/>
    </row>
    <row r="37" ht="28" customHeight="1">
      <c r="A37" s="30" t="n"/>
      <c r="B37" s="47" t="n"/>
      <c r="C37" s="30" t="n"/>
      <c r="D37" s="30" t="n"/>
      <c r="E37" s="21" t="n"/>
      <c r="F37" s="30" t="n"/>
    </row>
    <row r="38" ht="28" customHeight="1">
      <c r="A38" s="30" t="n"/>
      <c r="B38" s="47" t="n"/>
      <c r="C38" s="30" t="n"/>
      <c r="D38" s="30" t="n"/>
      <c r="E38" s="21" t="n"/>
      <c r="F38" s="30" t="n"/>
    </row>
  </sheetData>
  <mergeCells count="14">
    <mergeCell ref="A2:F2"/>
    <mergeCell ref="A11:F11"/>
    <mergeCell ref="A10:F10"/>
    <mergeCell ref="A13:F13"/>
    <mergeCell ref="A14:F14"/>
    <mergeCell ref="A1:F1"/>
    <mergeCell ref="A9:F9"/>
    <mergeCell ref="A8:F8"/>
    <mergeCell ref="A6:F6"/>
    <mergeCell ref="A17:F17"/>
    <mergeCell ref="A12:F12"/>
    <mergeCell ref="A4:F4"/>
    <mergeCell ref="A15:F15"/>
    <mergeCell ref="A7:F7"/>
  </mergeCells>
  <conditionalFormatting sqref="E19:E38">
    <cfRule type="expression" priority="1" dxfId="3">
      <formula>$E19="No"</formula>
    </cfRule>
  </conditionalFormatting>
  <dataValidations count="1">
    <dataValidation sqref="D19:D38 E19:E38" showDropDown="0" showInputMessage="0" showErrorMessage="0" allowBlank="1" type="list">
      <formula1>"Sí,No"</formula1>
    </dataValidation>
  </dataValidations>
  <printOptions horizontalCentered="1"/>
  <pageMargins left="0.4" right="0.4" top="0.5" bottom="0.5" header="0.5" footer="0.5"/>
  <pageSetup orientation="portrait" paperSize="1" fitToHeight="0" fitToWidth="1"/>
  <headerFooter>
    <oddHeader/>
    <oddFooter>&amp;L&amp;8 S03_ALU_04 · Programa de capacitación · LFPIORPI&amp;R&amp;8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22"/>
  <sheetViews>
    <sheetView showGridLines="0" workbookViewId="0">
      <pane ySplit="5" topLeftCell="A6" activePane="bottomLeft" state="frozen"/>
      <selection pane="bottomLeft" activeCell="A1" sqref="A1"/>
    </sheetView>
  </sheetViews>
  <sheetFormatPr baseColWidth="8" defaultRowHeight="15"/>
  <cols>
    <col width="16" customWidth="1" min="1" max="1"/>
    <col width="46" customWidth="1" min="2" max="2"/>
    <col width="24" customWidth="1" min="3" max="3"/>
    <col width="44" customWidth="1" min="4" max="4"/>
    <col width="22" customWidth="1" min="5" max="5"/>
    <col width="16" customWidth="1" min="6" max="6"/>
  </cols>
  <sheetData>
    <row r="1" ht="22" customHeight="1">
      <c r="A1" s="11" t="inlineStr">
        <is>
          <t>7 · CALENDARIO 2027 — el primer periodo anual de capacitación</t>
        </is>
      </c>
    </row>
    <row r="2" ht="30" customHeight="1">
      <c r="A2" s="12" t="inlineStr">
        <is>
          <t>El primer periodo anual de capacitación corre del 1 de enero al 31 de diciembre de 2027 (RCG Trans. Séptimo). Reparta aquí los cursos de la hoja 3 y no pierda de vista las fechas duras que caen dentro del mismo año.</t>
        </is>
      </c>
    </row>
    <row r="5" ht="46" customHeight="1">
      <c r="A5" s="15" t="inlineStr">
        <is>
          <t>Mes 2027</t>
        </is>
      </c>
      <c r="B5" s="15" t="inlineStr">
        <is>
          <t>¿Qué se hace este mes? (curso, evaluación, resguardo de evidencia)</t>
        </is>
      </c>
      <c r="C5" s="15" t="inlineStr">
        <is>
          <t>Responsable</t>
        </is>
      </c>
      <c r="D5" s="15" t="inlineStr">
        <is>
          <t>Fecha dura que cae en este mes</t>
        </is>
      </c>
      <c r="E5" s="15" t="inlineStr">
        <is>
          <t>Fundamento</t>
        </is>
      </c>
      <c r="F5" s="15" t="inlineStr">
        <is>
          <t>Estatus</t>
        </is>
      </c>
    </row>
    <row r="6" ht="34" customHeight="1">
      <c r="A6" s="41" t="inlineStr">
        <is>
          <t>Enero</t>
        </is>
      </c>
      <c r="B6" s="30" t="n"/>
      <c r="C6" s="30" t="n"/>
      <c r="D6" s="42" t="inlineStr">
        <is>
          <t>1 ene 2027 · Inicia el primer periodo anual de capacitación (1 ene – 31 dic 2027)</t>
        </is>
      </c>
      <c r="E6" s="6" t="inlineStr">
        <is>
          <t>RCG Trans. Séptimo</t>
        </is>
      </c>
      <c r="F6" s="21" t="n"/>
    </row>
    <row r="7" ht="34" customHeight="1">
      <c r="A7" s="41" t="inlineStr">
        <is>
          <t>Febrero</t>
        </is>
      </c>
      <c r="B7" s="30" t="n"/>
      <c r="C7" s="30" t="n"/>
      <c r="D7" s="20" t="n"/>
      <c r="E7" s="43" t="n"/>
      <c r="F7" s="21" t="n"/>
    </row>
    <row r="8" ht="34" customHeight="1">
      <c r="A8" s="41" t="inlineStr">
        <is>
          <t>Marzo</t>
        </is>
      </c>
      <c r="B8" s="30" t="n"/>
      <c r="C8" s="30" t="n"/>
      <c r="D8" s="42" t="inlineStr">
        <is>
          <t>1 mar 2027 · Manual con la metodología incluida, a disposición previo requerimiento</t>
        </is>
      </c>
      <c r="E8" s="6" t="inlineStr">
        <is>
          <t>RCG Trans. Tercero</t>
        </is>
      </c>
      <c r="F8" s="21" t="n"/>
    </row>
    <row r="9" ht="34" customHeight="1">
      <c r="A9" s="44" t="n"/>
      <c r="B9" s="44" t="n"/>
      <c r="C9" s="44" t="n"/>
      <c r="D9" s="42" t="inlineStr">
        <is>
          <t>1 mar 2027 · Evaluación EBR a disposición, con datos del año anterior</t>
        </is>
      </c>
      <c r="E9" s="6" t="inlineStr">
        <is>
          <t>RCG Trans. Segundo</t>
        </is>
      </c>
      <c r="F9" s="44" t="n"/>
    </row>
    <row r="10" ht="34" customHeight="1">
      <c r="A10" s="44" t="n"/>
      <c r="B10" s="44" t="n"/>
      <c r="C10" s="44" t="n"/>
      <c r="D10" s="42" t="inlineStr">
        <is>
          <t>1 mar 2027 · Caps. III Bis, III Ter y III Quinquies (grado de riesgo, DDR, PEP alto, beneficiario controlador): operaciones desde esta fecha</t>
        </is>
      </c>
      <c r="E10" s="6" t="inlineStr">
        <is>
          <t>RCG Trans. Cuarto</t>
        </is>
      </c>
      <c r="F10" s="44" t="n"/>
    </row>
    <row r="11" ht="34" customHeight="1">
      <c r="A11" s="45" t="n"/>
      <c r="B11" s="45" t="n"/>
      <c r="C11" s="45" t="n"/>
      <c r="D11" s="42" t="inlineStr">
        <is>
          <t>1 mar 2027 · Procedimientos de selección de personal: contrataciones desde esta fecha</t>
        </is>
      </c>
      <c r="E11" s="6" t="inlineStr">
        <is>
          <t>RCG Trans. Sexto</t>
        </is>
      </c>
      <c r="F11" s="45" t="n"/>
    </row>
    <row r="12" ht="34" customHeight="1">
      <c r="A12" s="41" t="inlineStr">
        <is>
          <t>Abril</t>
        </is>
      </c>
      <c r="B12" s="30" t="n"/>
      <c r="C12" s="30" t="n"/>
      <c r="D12" s="20" t="n"/>
      <c r="E12" s="43" t="n"/>
      <c r="F12" s="21" t="n"/>
    </row>
    <row r="13" ht="34" customHeight="1">
      <c r="A13" s="41" t="inlineStr">
        <is>
          <t>Mayo</t>
        </is>
      </c>
      <c r="B13" s="30" t="n"/>
      <c r="C13" s="30" t="n"/>
      <c r="D13" s="20" t="n"/>
      <c r="E13" s="43" t="n"/>
      <c r="F13" s="21" t="n"/>
    </row>
    <row r="14" ht="34" customHeight="1">
      <c r="A14" s="41" t="inlineStr">
        <is>
          <t>Junio</t>
        </is>
      </c>
      <c r="B14" s="30" t="n"/>
      <c r="C14" s="30" t="n"/>
      <c r="D14" s="42" t="inlineStr">
        <is>
          <t>A más tardar el 1 jun 2027 · Mecanismos automatizados</t>
        </is>
      </c>
      <c r="E14" s="6" t="inlineStr">
        <is>
          <t>RCG Trans. Noveno</t>
        </is>
      </c>
      <c r="F14" s="21" t="n"/>
    </row>
    <row r="15" ht="34" customHeight="1">
      <c r="A15" s="41" t="inlineStr">
        <is>
          <t>Julio</t>
        </is>
      </c>
      <c r="B15" s="30" t="n"/>
      <c r="C15" s="30" t="n"/>
      <c r="D15" s="20" t="n"/>
      <c r="E15" s="43" t="n"/>
      <c r="F15" s="21" t="n"/>
    </row>
    <row r="16" ht="34" customHeight="1">
      <c r="A16" s="41" t="inlineStr">
        <is>
          <t>Agosto</t>
        </is>
      </c>
      <c r="B16" s="30" t="n"/>
      <c r="C16" s="30" t="n"/>
      <c r="D16" s="42" t="inlineStr">
        <is>
          <t>30 ago 2027 · Consulta PEP 2.0</t>
        </is>
      </c>
      <c r="E16" s="6" t="inlineStr">
        <is>
          <t>RCG Trans. Décimo</t>
        </is>
      </c>
      <c r="F16" s="21" t="n"/>
    </row>
    <row r="17" ht="34" customHeight="1">
      <c r="A17" s="41" t="inlineStr">
        <is>
          <t>Septiembre</t>
        </is>
      </c>
      <c r="B17" s="30" t="n"/>
      <c r="C17" s="30" t="n"/>
      <c r="D17" s="20" t="n"/>
      <c r="E17" s="43" t="n"/>
      <c r="F17" s="21" t="n"/>
    </row>
    <row r="18" ht="34" customHeight="1">
      <c r="A18" s="41" t="inlineStr">
        <is>
          <t>Octubre</t>
        </is>
      </c>
      <c r="B18" s="30" t="n"/>
      <c r="C18" s="30" t="n"/>
      <c r="D18" s="20" t="n"/>
      <c r="E18" s="43" t="n"/>
      <c r="F18" s="21" t="n"/>
    </row>
    <row r="19" ht="34" customHeight="1">
      <c r="A19" s="41" t="inlineStr">
        <is>
          <t>Noviembre</t>
        </is>
      </c>
      <c r="B19" s="30" t="n"/>
      <c r="C19" s="30" t="n"/>
      <c r="D19" s="20" t="n"/>
      <c r="E19" s="43" t="n"/>
      <c r="F19" s="21" t="n"/>
    </row>
    <row r="20" ht="34" customHeight="1">
      <c r="A20" s="41" t="inlineStr">
        <is>
          <t>Diciembre</t>
        </is>
      </c>
      <c r="B20" s="30" t="n"/>
      <c r="C20" s="30" t="n"/>
      <c r="D20" s="42" t="inlineStr">
        <is>
          <t>31 dic 2027 · Cierra el primer periodo anual de capacitación</t>
        </is>
      </c>
      <c r="E20" s="6" t="inlineStr">
        <is>
          <t>RCG Trans. Séptimo</t>
        </is>
      </c>
      <c r="F20" s="21" t="n"/>
    </row>
    <row r="22" ht="54" customHeight="1">
      <c r="A22" s="10" t="inlineStr">
        <is>
          <t>Dos fechas que NO caen en 2027 y conviene tener a la vista: la entrada en vigor del ACUERDO 115/2026 es el 30 de noviembre de 2026 (RCG Trans. Primero), y el primer periodo de revisión de auditoría corre del 1 de enero al 31 de diciembre de 2028 (RCG Trans. Octavo) — por eso el personal que hace auditoría ya entra a su programa de capacitación de 2027, aunque su primera revisión sea hasta 2028.</t>
        </is>
      </c>
    </row>
  </sheetData>
  <mergeCells count="7">
    <mergeCell ref="A2:F2"/>
    <mergeCell ref="A8:A11"/>
    <mergeCell ref="B8:B11"/>
    <mergeCell ref="C8:C11"/>
    <mergeCell ref="A1:F1"/>
    <mergeCell ref="F8:F11"/>
    <mergeCell ref="A22:F22"/>
  </mergeCells>
  <dataValidations count="1">
    <dataValidation sqref="F6:F20" showDropDown="0" showInputMessage="0" showErrorMessage="0" allowBlank="1" type="list">
      <formula1>"Programado,Hecho,Reprogramado,Pendiente"</formula1>
    </dataValidation>
  </dataValidations>
  <printOptions horizontalCentered="1"/>
  <pageMargins left="0.4" right="0.4" top="0.5" bottom="0.5" header="0.5" footer="0.5"/>
  <pageSetup orientation="landscape" paperSize="1" fitToHeight="0" fitToWidth="1"/>
  <headerFooter>
    <oddHeader/>
    <oddFooter>&amp;L&amp;8 S03_ALU_04 · Programa de capacitación · LFPIORPI&amp;R&amp;8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B1:F58"/>
  <sheetViews>
    <sheetView showGridLines="0" workbookViewId="0">
      <selection activeCell="A1" sqref="A1"/>
    </sheetView>
  </sheetViews>
  <sheetFormatPr baseColWidth="8" defaultRowHeight="15"/>
  <cols>
    <col width="4" customWidth="1" min="1" max="1"/>
    <col width="46" customWidth="1" min="2" max="2"/>
    <col width="52" customWidth="1" min="3" max="3"/>
    <col width="26" customWidth="1" min="4" max="4"/>
    <col width="14" customWidth="1" min="5" max="5"/>
    <col width="14" customWidth="1" min="6" max="6"/>
  </cols>
  <sheetData>
    <row r="1"/>
    <row r="2">
      <c r="B2" s="50" t="inlineStr">
        <is>
          <t>8 · CONSTANCIA, DIFUSIÓN Y HORAS DE REFERENCIA</t>
        </is>
      </c>
    </row>
    <row r="3">
      <c r="B3" s="51" t="inlineStr">
        <is>
          <t>Lo que la norma exige, y lo que se toma prestado de la guía de la CNBV señalándolo como tal.</t>
        </is>
      </c>
    </row>
    <row r="4"/>
    <row r="5"/>
    <row r="6">
      <c r="B6" s="52" t="inlineStr">
        <is>
          <t>A · Qué debe contener la constancia</t>
        </is>
      </c>
    </row>
    <row r="7">
      <c r="B7" s="51" t="inlineStr">
        <is>
          <t>RCG 39 Bis 1 exige expedirla y exige evaluación previa, pero NO dice qué debe decir. Estos ocho puntos vienen de la guía de la CNBV para el régimen financiero; se adoptan como buena práctica.</t>
        </is>
      </c>
    </row>
    <row r="8"/>
    <row r="9" ht="26" customHeight="1">
      <c r="B9" s="53" t="inlineStr">
        <is>
          <t>Elemento</t>
        </is>
      </c>
      <c r="C9" s="53" t="inlineStr">
        <is>
          <t>Por qué</t>
        </is>
      </c>
      <c r="D9" s="53" t="inlineStr">
        <is>
          <t>¿Lo trae la nuestra?</t>
        </is>
      </c>
    </row>
    <row r="10" ht="34" customHeight="1">
      <c r="B10" s="54" t="inlineStr">
        <is>
          <t>Nombre completo del personal capacitado, sin abreviaturas</t>
        </is>
      </c>
      <c r="C10" s="54" t="inlineStr">
        <is>
          <t>Es la persona cuya capacitación se está acreditando.</t>
        </is>
      </c>
      <c r="D10" s="54" t="inlineStr"/>
    </row>
    <row r="11" ht="34" customHeight="1">
      <c r="B11" s="54" t="inlineStr">
        <is>
          <t>Cargo del personal capacitado</t>
        </is>
      </c>
      <c r="C11" s="54" t="inlineStr">
        <is>
          <t>Permite cotejar contra la hoja «Personal obligado» y contra el temario dirigido a ese cargo.</t>
        </is>
      </c>
      <c r="D11" s="54" t="inlineStr"/>
    </row>
    <row r="12" ht="34" customHeight="1">
      <c r="B12" s="54" t="inlineStr">
        <is>
          <t>Nombre, denominación o razón social de quien impartió</t>
        </is>
      </c>
      <c r="C12" s="54" t="inlineStr">
        <is>
          <t>Sin esto no se puede verificar la experiencia de quien capacitó.</t>
        </is>
      </c>
      <c r="D12" s="54" t="inlineStr"/>
    </row>
    <row r="13" ht="34" customHeight="1">
      <c r="B13" s="54" t="inlineStr">
        <is>
          <t>Fecha o periodo en que se llevó a cabo</t>
        </is>
      </c>
      <c r="C13" s="54" t="inlineStr">
        <is>
          <t>Es lo que acredita que cayó dentro del periodo anual.</t>
        </is>
      </c>
      <c r="D13" s="54" t="inlineStr"/>
    </row>
    <row r="14" ht="34" customHeight="1">
      <c r="B14" s="54" t="inlineStr">
        <is>
          <t>Horas totales de duración</t>
        </is>
      </c>
      <c r="C14" s="54" t="inlineStr">
        <is>
          <t>La norma de Actividades Vulnerables no fija horas, pero la constancia sí debe decir cuántas fueron.</t>
        </is>
      </c>
      <c r="D14" s="54" t="inlineStr"/>
    </row>
    <row r="15" ht="34" customHeight="1">
      <c r="B15" s="54" t="inlineStr">
        <is>
          <t>Resultado de la evaluación sobre los conocimientos adquiridos</t>
        </is>
      </c>
      <c r="C15" s="54" t="inlineStr">
        <is>
          <t>RCG 39 Bis 1: sin evaluación previa no se puede expedir la constancia.</t>
        </is>
      </c>
      <c r="D15" s="54" t="inlineStr"/>
    </row>
    <row r="16" ht="34" customHeight="1">
      <c r="B16" s="54" t="inlineStr">
        <is>
          <t>Tipo de capacitación: presencial, en línea o mixta</t>
        </is>
      </c>
      <c r="C16" s="54" t="inlineStr">
        <is>
          <t>Debe coincidir con la modalidad declarada en el programa anual.</t>
        </is>
      </c>
      <c r="D16" s="54" t="inlineStr"/>
    </row>
    <row r="17" ht="34" customHeight="1">
      <c r="B17" s="54" t="inlineStr">
        <is>
          <t>Nombre, firma y cargo de quien impartió, y cómo acredita sus CINCO años</t>
        </is>
      </c>
      <c r="C17" s="54" t="inlineStr">
        <is>
          <t>RCG 39 Bis fr. III. Aquí NO va «certificado de la Comisión»: eso es del régimen financiero.</t>
        </is>
      </c>
      <c r="D17" s="54" t="inlineStr"/>
    </row>
    <row r="18"/>
    <row r="19" ht="40" customHeight="1">
      <c r="B19" s="55" t="inlineStr">
        <is>
          <t>OJO · La guía de la CNBV pide en este punto el número de certificado vigente emitido por la Comisión. Eso NO aplica a Actividades Vulnerables: aquí lo que se acredita son los cinco años de experiencia del artículo 39 Bis, fracción III.</t>
        </is>
      </c>
      <c r="C19" s="58" t="n"/>
      <c r="D19" s="59" t="n"/>
    </row>
    <row r="20"/>
    <row r="21">
      <c r="B21" s="52" t="inlineStr">
        <is>
          <t>B · Difusión — la mitad olvidada del artículo</t>
        </is>
      </c>
    </row>
    <row r="22">
      <c r="B22" s="51" t="inlineStr">
        <is>
          <t>El RCG 39 Bis dice, textual, «programas de capacitación Y DIFUSIÓN». La difusión es obligación, no adorno, y casi ningún programa la documenta.</t>
        </is>
      </c>
    </row>
    <row r="23"/>
    <row r="24" ht="26" customHeight="1">
      <c r="B24" s="53" t="inlineStr">
        <is>
          <t>Canal o medio</t>
        </is>
      </c>
      <c r="C24" s="53" t="inlineStr">
        <is>
          <t>Qué se difunde por ahí</t>
        </is>
      </c>
      <c r="D24" s="53" t="inlineStr">
        <is>
          <t>Responsable</t>
        </is>
      </c>
      <c r="E24" s="53" t="inlineStr">
        <is>
          <t>Frecuencia</t>
        </is>
      </c>
    </row>
    <row r="25" ht="34" customHeight="1">
      <c r="B25" s="54" t="inlineStr">
        <is>
          <t>Correo electrónico interno</t>
        </is>
      </c>
      <c r="C25" s="54" t="inlineStr">
        <is>
          <t>Reformas a la Ley, al Reglamento y a las Reglas, en cuanto se publican en el DOF</t>
        </is>
      </c>
      <c r="D25" s="54" t="inlineStr">
        <is>
          <t>[cargo]</t>
        </is>
      </c>
      <c r="E25" s="54" t="inlineStr">
        <is>
          <t>Al publicarse</t>
        </is>
      </c>
    </row>
    <row r="26" ht="34" customHeight="1">
      <c r="B26" s="54" t="inlineStr">
        <is>
          <t>Boletín o comunicado periódico</t>
        </is>
      </c>
      <c r="C26" s="54" t="inlineStr">
        <is>
          <t>Técnicas, métodos y tendencias para prevenir y detectar operaciones del 400 Bis y delitos relacionados (fr. II)</t>
        </is>
      </c>
      <c r="D26" s="54" t="inlineStr">
        <is>
          <t>[cargo]</t>
        </is>
      </c>
      <c r="E26" s="54" t="inlineStr">
        <is>
          <t>[trimestral]</t>
        </is>
      </c>
    </row>
    <row r="27" ht="34" customHeight="1">
      <c r="B27" s="54" t="inlineStr">
        <is>
          <t>Intranet o carpeta compartida</t>
        </is>
      </c>
      <c r="C27" s="54" t="inlineStr">
        <is>
          <t>Versión vigente del Manual de Políticas Internas y sus documentos por referencia</t>
        </is>
      </c>
      <c r="D27" s="54" t="inlineStr">
        <is>
          <t>[cargo]</t>
        </is>
      </c>
      <c r="E27" s="54" t="inlineStr">
        <is>
          <t>Al actualizarse</t>
        </is>
      </c>
    </row>
    <row r="28" ht="34" customHeight="1">
      <c r="B28" s="54" t="inlineStr">
        <is>
          <t>Reunión de área</t>
        </is>
      </c>
      <c r="C28" s="54" t="inlineStr">
        <is>
          <t>Resultados de la evaluación de Riesgos y qué cambió para cada área</t>
        </is>
      </c>
      <c r="D28" s="54" t="inlineStr">
        <is>
          <t>[cargo]</t>
        </is>
      </c>
      <c r="E28" s="54" t="inlineStr">
        <is>
          <t>[anual]</t>
        </is>
      </c>
    </row>
    <row r="29" ht="34" customHeight="1">
      <c r="B29" s="54" t="inlineStr">
        <is>
          <t>[otro canal propio]</t>
        </is>
      </c>
      <c r="C29" s="54" t="inlineStr"/>
      <c r="D29" s="54" t="inlineStr">
        <is>
          <t>[cargo]</t>
        </is>
      </c>
      <c r="E29" s="54" t="inlineStr"/>
    </row>
    <row r="30"/>
    <row r="31" ht="40" customHeight="1">
      <c r="B31" s="55" t="inlineStr">
        <is>
          <t>La evidencia de la difusión se conserva DIEZ años, igual que la de la capacitación: el artículo 39 Bis 1 cubre «los programas, talleres, materiales, listas de asistencia, evaluaciones, constancias y cualquier otro documento». Guarde el correo enviado, no sólo el archivo adjunto.</t>
        </is>
      </c>
      <c r="C31" s="58" t="n"/>
      <c r="D31" s="59" t="n"/>
    </row>
    <row r="32"/>
    <row r="33">
      <c r="B33" s="52" t="inlineStr">
        <is>
          <t>C · Horas por cargo — referencia externa, no obligación</t>
        </is>
      </c>
    </row>
    <row r="34">
      <c r="B34" s="51" t="inlineStr">
        <is>
          <t>La norma de Actividades Vulnerables NO fija horas mínimas. La única referencia publicada en México es la guía de la CNBV para el régimen financiero. Se incluye como punto de partida, y así debe citarse si alguien pregunta.</t>
        </is>
      </c>
    </row>
    <row r="35"/>
    <row r="36" ht="26" customHeight="1">
      <c r="B36" s="53" t="inlineStr">
        <is>
          <t>Cargo o función</t>
        </is>
      </c>
      <c r="C36" s="53" t="inlineStr">
        <is>
          <t>Horas anuales sugeridas por la CNBV</t>
        </is>
      </c>
      <c r="D36" s="53" t="inlineStr">
        <is>
          <t>Equivalente en Actividad Vulnerable</t>
        </is>
      </c>
      <c r="E36" s="53" t="inlineStr">
        <is>
          <t>Nuestras horas</t>
        </is>
      </c>
    </row>
    <row r="37" ht="34" customHeight="1">
      <c r="B37" s="54" t="inlineStr">
        <is>
          <t>Consejo de administración</t>
        </is>
      </c>
      <c r="C37" s="54" t="inlineStr">
        <is>
          <t>20 h</t>
        </is>
      </c>
      <c r="D37" s="54" t="inlineStr">
        <is>
          <t>Consejo de administración o administrador único</t>
        </is>
      </c>
      <c r="E37" s="54" t="inlineStr"/>
    </row>
    <row r="38" ht="34" customHeight="1">
      <c r="B38" s="54" t="inlineStr">
        <is>
          <t>Alta dirección</t>
        </is>
      </c>
      <c r="C38" s="54" t="inlineStr">
        <is>
          <t>20 h</t>
        </is>
      </c>
      <c r="D38" s="54" t="inlineStr">
        <is>
          <t>Directivos y funcionarios</t>
        </is>
      </c>
      <c r="E38" s="54" t="inlineStr"/>
    </row>
    <row r="39" ht="34" customHeight="1">
      <c r="B39" s="54" t="inlineStr">
        <is>
          <t>Personal de primer contacto con el Cliente</t>
        </is>
      </c>
      <c r="C39" s="54" t="inlineStr">
        <is>
          <t>30 h</t>
        </is>
      </c>
      <c r="D39" s="54" t="inlineStr">
        <is>
          <t>Quien participa en la identificación o conocimiento del Cliente, o en el envío de Avisos</t>
        </is>
      </c>
      <c r="E39" s="54" t="inlineStr"/>
    </row>
    <row r="40" ht="34" customHeight="1">
      <c r="B40" s="54" t="inlineStr">
        <is>
          <t>Auditor interno</t>
        </is>
      </c>
      <c r="C40" s="54" t="inlineStr">
        <is>
          <t>30 h</t>
        </is>
      </c>
      <c r="D40" s="54" t="inlineStr">
        <is>
          <t>Quien realiza actividades de auditoría</t>
        </is>
      </c>
      <c r="E40" s="54" t="inlineStr"/>
    </row>
    <row r="41" ht="34" customHeight="1">
      <c r="B41" s="54" t="inlineStr">
        <is>
          <t>Oficial de Cumplimiento o Representante y Comité</t>
        </is>
      </c>
      <c r="C41" s="54" t="inlineStr">
        <is>
          <t>40 h</t>
        </is>
      </c>
      <c r="D41" s="54" t="inlineStr">
        <is>
          <t>Persona Representante Encargada de Cumplimiento — aquí NO hay Comité</t>
        </is>
      </c>
      <c r="E41" s="54" t="inlineStr"/>
    </row>
    <row r="42"/>
    <row r="43" ht="40" customHeight="1">
      <c r="B43" s="56" t="inlineStr">
        <is>
          <t>Ese cuadro es del régimen financiero: artículo 115 de la Ley de Instituciones de Crédito y Disposiciones de la CNBV. No es exigible a quien realiza una Actividad Vulnerable. Sirve para no partir de cero y para sostener por qué se eligieron las horas que se eligieron.</t>
        </is>
      </c>
      <c r="C43" s="58" t="n"/>
      <c r="D43" s="59" t="n"/>
    </row>
    <row r="44"/>
    <row r="45">
      <c r="B45" s="60" t="inlineStr">
        <is>
          <t>D · Diez años. Siempre.</t>
        </is>
      </c>
      <c r="C45" s="61" t="n"/>
      <c r="D45" s="61" t="n"/>
      <c r="E45" s="61" t="n"/>
      <c r="F45" s="61" t="n"/>
    </row>
    <row r="46">
      <c r="B46" s="62" t="inlineStr">
        <is>
          <t>Toda la evidencia de capacitación y difusión se conserva DIEZ años. No hay plazo menor en ninguna hipótesis.</t>
        </is>
      </c>
      <c r="C46" s="61" t="n"/>
      <c r="D46" s="61" t="n"/>
      <c r="E46" s="61" t="n"/>
      <c r="F46" s="61" t="n"/>
    </row>
    <row r="47">
      <c r="B47" s="61" t="n"/>
      <c r="C47" s="61" t="n"/>
      <c r="D47" s="61" t="n"/>
      <c r="E47" s="61" t="n"/>
      <c r="F47" s="61" t="n"/>
    </row>
    <row r="48" ht="26" customHeight="1">
      <c r="B48" s="53" t="inlineStr">
        <is>
          <t>Qué se conserva</t>
        </is>
      </c>
      <c r="C48" s="53" t="inlineStr">
        <is>
          <t>Cuánto</t>
        </is>
      </c>
      <c r="D48" s="53" t="inlineStr">
        <is>
          <t>Desde cuándo · fundamento</t>
        </is>
      </c>
      <c r="E48" s="61" t="n"/>
      <c r="F48" s="61" t="n"/>
    </row>
    <row r="49" ht="40" customHeight="1">
      <c r="B49" s="63" t="inlineStr">
        <is>
          <t>Programas, talleres, materiales, listas de asistencia, evaluaciones, constancias y cualquier otro documento que compruebe que la capacitación se llevó a cabo</t>
        </is>
      </c>
      <c r="C49" s="63" t="inlineStr">
        <is>
          <t>DIEZ años</t>
        </is>
      </c>
      <c r="D49" s="63" t="inlineStr">
        <is>
          <t>Desde cada evento de capacitación · RCG 39 Bis 1</t>
        </is>
      </c>
      <c r="E49" s="61" t="n"/>
      <c r="F49" s="61" t="n"/>
    </row>
    <row r="50" ht="40" customHeight="1">
      <c r="B50" s="63" t="inlineStr">
        <is>
          <t>La evidencia de la difusión: el correo enviado, el boletín, el acuse de publicación en intranet</t>
        </is>
      </c>
      <c r="C50" s="63" t="inlineStr">
        <is>
          <t>DIEZ años</t>
        </is>
      </c>
      <c r="D50" s="63" t="inlineStr">
        <is>
          <t>Mismo artículo: cubre «cualquier otro documento» · RCG 39 Bis 1</t>
        </is>
      </c>
      <c r="E50" s="61" t="n"/>
      <c r="F50" s="61" t="n"/>
    </row>
    <row r="52" ht="58" customHeight="1">
      <c r="B52" s="64" t="inlineStr">
        <is>
          <t>SI ALGUIEN LLEGA CON UN CINCO, viene de uno de dos lugares y ninguno aplica hoy. Uno: del texto del artículo 18, fracción IV de la Ley ANTERIOR a la reforma del 16 de julio de 2025, que sí fijaba cinco años; la reforma lo subió a diez. Dos: de la guía de capacitación de la CNBV, que es del régimen financiero. En Actividades Vulnerables, después de la reforma, son diez en todos los casos.</t>
        </is>
      </c>
    </row>
    <row r="54">
      <c r="B54" s="52" t="inlineStr">
        <is>
          <t>E · Lo demás que no se copia del régimen financiero</t>
        </is>
      </c>
    </row>
    <row r="56" ht="26" customHeight="1">
      <c r="B56" s="53" t="inlineStr">
        <is>
          <t>Tema</t>
        </is>
      </c>
      <c r="C56" s="53" t="inlineStr">
        <is>
          <t>Régimen financiero (CNBV)</t>
        </is>
      </c>
      <c r="D56" s="53" t="inlineStr">
        <is>
          <t>Actividad Vulnerable (LFPIORPI)</t>
        </is>
      </c>
    </row>
    <row r="57" ht="40" customHeight="1">
      <c r="B57" s="54" t="inlineStr">
        <is>
          <t>Quien imparte la capacitación</t>
        </is>
      </c>
      <c r="C57" s="54" t="inlineStr">
        <is>
          <t>Certificación ante la Comisión, sólo deseable</t>
        </is>
      </c>
      <c r="D57" s="54" t="inlineStr">
        <is>
          <t>CINCO años de experiencia, acreditados y obligatorios · RCG 39 Bis fr. III</t>
        </is>
      </c>
    </row>
    <row r="58" ht="40" customHeight="1">
      <c r="B58" s="54" t="inlineStr">
        <is>
          <t>Quién coordina el cumplimiento</t>
        </is>
      </c>
      <c r="C58" s="54" t="inlineStr">
        <is>
          <t>Oficial de Cumplimiento y Comité de Comunicación y Control</t>
        </is>
      </c>
      <c r="D58" s="54" t="inlineStr">
        <is>
          <t>Persona Representante Encargada de Cumplimiento. El Comité NO existe aquí</t>
        </is>
      </c>
    </row>
  </sheetData>
  <mergeCells count="4">
    <mergeCell ref="B31:D31"/>
    <mergeCell ref="B52:D52"/>
    <mergeCell ref="B19:D19"/>
    <mergeCell ref="B43:D43"/>
  </mergeCells>
  <printOptions horizontalCentered="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2026-08-31T12:52:55Z</dcterms:created>
  <dcterms:modified xmlns:dcterms="http://purl.org/dc/terms/" xmlns:xsi="http://www.w3.org/2001/XMLSchema-instance" xsi:type="dcterms:W3CDTF">2026-09-01T13:22:24Z</dcterms:modified>
</cp:coreProperties>
</file>