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ómo se usa" sheetId="1" state="visible" r:id="rId3"/>
    <sheet name="Instrumento" sheetId="2" state="visible" r:id="rId4"/>
    <sheet name="Comparativo por anexo" sheetId="3" state="visible" r:id="rId5"/>
    <sheet name="Casos difíciles" sheetId="4" state="visible" r:id="rId6"/>
    <sheet name="Trazabilidad" sheetId="5" state="visible" r:id="rId7"/>
    <sheet name="Mi brecha" sheetId="6" state="visible" r:id="rId8"/>
  </sheets>
  <definedNames>
    <definedName function="false" hidden="true" localSheetId="1" name="_xlnm._FilterDatabase" vbProcedure="false">Instrumento!$A$5:$I$116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<sst xmlns="http://schemas.openxmlformats.org/spreadsheetml/2006/main" count="990" uniqueCount="437">
  <si>
    <t xml:space="preserve">INSTRUMENTO DE EXPEDIENTE DE IDENTIFICACIÓN</t>
  </si>
  <si>
    <t xml:space="preserve">Curso–taller PLD/FT · Actividades Vulnerables · GMC360 · 360Educa</t>
  </si>
  <si>
    <t xml:space="preserve">18 de agosto de 2026 · Documento de trabajo. Sin valor de asesoría legal para un caso concreto.</t>
  </si>
  <si>
    <t xml:space="preserve">PARA QUÉ SIRVE</t>
  </si>
  <si>
    <t xml:space="preserve">Este archivo arma el expediente único de identificación de UN cliente y te dice, al final, cuántos requisitos te faltan. No es un formato oficial: es el índice del expediente que la autoridad puede pedirte, construido renglón por renglón sobre el ACUERDO 115/2026.</t>
  </si>
  <si>
    <t xml:space="preserve">CÓMO SE LLENA</t>
  </si>
  <si>
    <t xml:space="preserve">1. Ve a la hoja «Instrumento» y elige el tipo de cliente en la celda amarilla. Sólo esa celda manda.</t>
  </si>
  <si>
    <t xml:space="preserve">2. La columna «¿Aplica?» se enciende sola. Filtra por «Sí» y trabaja únicamente esos renglones.</t>
  </si>
  <si>
    <t xml:space="preserve">3. Contesta la columna «¿Lo tengo?» con Sí, Parcial, No o No aplica. Es la única columna que capturas.</t>
  </si>
  <si>
    <t xml:space="preserve">4. Anota en «Dónde está» la ruta, la carpeta o el nombre del archivo. Un expediente que nadie encuentra no existe.</t>
  </si>
  <si>
    <t xml:space="preserve">5. Revisa la hoja «Mi brecha»: ahí sale tu número.</t>
  </si>
  <si>
    <t xml:space="preserve">LAS TRES CLASES DE REQUISITO</t>
  </si>
  <si>
    <t xml:space="preserve">DATO — información que se asienta en el expediente. Puede vivir en tu sistema.</t>
  </si>
  <si>
    <t xml:space="preserve">DOCUMENTO — copia que hay que recabar, legible y cotejada contra el original.</t>
  </si>
  <si>
    <t xml:space="preserve">CONSTANCIA — documento que genera y firma el propio cliente. Desde el ACUERDO 115/2026 admite Firma Electrónica, no sólo autógrafa.</t>
  </si>
  <si>
    <t xml:space="preserve">LA MARCA DE CADA CITA</t>
  </si>
  <si>
    <t xml:space="preserve">L = Ley  ·  R = Reglamento  ·  RCG = Reglas de Carácter General (ACUERDO 115/2026)  ·  CPF = Código Penal Federal. La marca no es adorno: el artículo 21 L es el deber de abstenerse y el 21 RCG es la verificación anual de expedientes. Son cosas distintas.</t>
  </si>
  <si>
    <t xml:space="preserve">DESDE CUÁNDO ES EXIGIBLE</t>
  </si>
  <si>
    <t xml:space="preserve">El Capítulo III de las Reglas —identificación y expediente, artículos 11 a 23 RCG— entra en vigor el 30 de noviembre de 2026. Eso es lo que mide este archivo. El grado de riesgo, el perfil transaccional y el régimen sustantivo del Beneficiario Controlador aplican a las operaciones realizadas a partir del 1 de marzo de 2027, y se trabajan en las sesiones 2 y 4.</t>
  </si>
  <si>
    <t xml:space="preserve">EL BENEFICIARIO CONTROLADOR: QUÉ CAMBIÓ DE VERDAD</t>
  </si>
  <si>
    <t xml:space="preserve">La figura no es nueva y la fracción VII del artículo 12 RCG ya existía: el beneficiario —entonces llamado Dueño Beneficiario— ya formaba parte del expediente. El umbral de más del 25% y el control efectivo en última instancia son de la reforma a la Ley del 16 de julio de 2025. Lo que cambia el 30 de noviembre de 2026 es otra cosa: en persona moral y en fideicomiso desaparece la constancia declarativa y nace la obligación directa de identificarlo. En persona física la constancia se conserva. El cambio no es parejo.</t>
  </si>
  <si>
    <t xml:space="preserve">QUÉ NO ESTÁ EN ESTE ARCHIVO</t>
  </si>
  <si>
    <t xml:space="preserve">Matriz de riesgo, grado de riesgo y perfil transaccional. No es un olvido: son las herramientas de las sesiones 2 y 4, y mezclarlas aquí desordena el método.</t>
  </si>
  <si>
    <t xml:space="preserve">Fuente: ACUERDO 115/2026, DOF 7 de agosto de 2026 · Reglas de Carácter General de la LFPIORPI · Anexos 3 a 8. El único texto con valor legal es el publicado en el Diario Oficial de la Federación.</t>
  </si>
  <si>
    <t xml:space="preserve">INSTRUMENTO DE EXPEDIENTE DE IDENTIFICACIÓN  ·  RCG 12</t>
  </si>
  <si>
    <t xml:space="preserve">Tipo de cliente:</t>
  </si>
  <si>
    <t xml:space="preserve">Persona moral mexicana</t>
  </si>
  <si>
    <t xml:space="preserve">← Elige aquí. Es la única celda que cambia el filtro.</t>
  </si>
  <si>
    <t xml:space="preserve">Cliente / operación:</t>
  </si>
  <si>
    <t xml:space="preserve">Tipo de cliente</t>
  </si>
  <si>
    <t xml:space="preserve">¿Aplica?</t>
  </si>
  <si>
    <t xml:space="preserve">Numeral</t>
  </si>
  <si>
    <t xml:space="preserve">Clase</t>
  </si>
  <si>
    <t xml:space="preserve">Requisito</t>
  </si>
  <si>
    <t xml:space="preserve">Fundamento</t>
  </si>
  <si>
    <t xml:space="preserve">Novedad del ACUERDO 115/2026</t>
  </si>
  <si>
    <t xml:space="preserve">¿Lo tengo?</t>
  </si>
  <si>
    <t xml:space="preserve">Dónde está / qué falta</t>
  </si>
  <si>
    <t xml:space="preserve">Persona física mexicana o residente</t>
  </si>
  <si>
    <t xml:space="preserve">a) i)</t>
  </si>
  <si>
    <t xml:space="preserve">Dato</t>
  </si>
  <si>
    <t xml:space="preserve">Primer apellido, segundo apellido y nombre(s), sin abreviaturas o, en caso de ser extranjero, los apellidos completos que correspondan y nombre (s);</t>
  </si>
  <si>
    <t xml:space="preserve">RCG 12 fr. I · Anexo 3, inciso a) i)</t>
  </si>
  <si>
    <t xml:space="preserve">a) ii)</t>
  </si>
  <si>
    <t xml:space="preserve">Fecha de nacimiento;</t>
  </si>
  <si>
    <t xml:space="preserve">RCG 12 fr. I · Anexo 3, inciso a) ii)</t>
  </si>
  <si>
    <t xml:space="preserve">a) iii)</t>
  </si>
  <si>
    <t xml:space="preserve">País de nacimiento;</t>
  </si>
  <si>
    <t xml:space="preserve">RCG 12 fr. I · Anexo 3, inciso a) iii)</t>
  </si>
  <si>
    <t xml:space="preserve">a) iv)</t>
  </si>
  <si>
    <t xml:space="preserve">País de nacionalidad;</t>
  </si>
  <si>
    <t xml:space="preserve">RCG 12 fr. I · Anexo 3, inciso a) iv)</t>
  </si>
  <si>
    <t xml:space="preserve">a) v)</t>
  </si>
  <si>
    <t xml:space="preserve">Actividad, ocupación, profesión, actividad o giro del negocio al que se dedique el Cliente o Usuaria, para los casos en que se establezca una Relación de negocios;</t>
  </si>
  <si>
    <t xml:space="preserve">RCG 12 fr. I · Anexo 3, inciso a) v)</t>
  </si>
  <si>
    <t xml:space="preserve">a) vi)</t>
  </si>
  <si>
    <t xml:space="preserve">Domicilio en el lugar de residencia, compuesto de los siguientes datos: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en su caso; código postal y país;</t>
  </si>
  <si>
    <t xml:space="preserve">RCG 12 fr. I · Anexo 3, inciso a) vi)</t>
  </si>
  <si>
    <t xml:space="preserve">a) vii)</t>
  </si>
  <si>
    <t xml:space="preserve">Número(s) de teléfono en que se pueda localizar, incluida la clave de larga distancia y, en su caso, extensión, cuando cuenten con aquél;</t>
  </si>
  <si>
    <t xml:space="preserve">RCG 12 fr. I · Anexo 3, inciso a) vii)</t>
  </si>
  <si>
    <t xml:space="preserve">a) viii)</t>
  </si>
  <si>
    <t xml:space="preserve">Correo electrónico, en su caso;</t>
  </si>
  <si>
    <t xml:space="preserve">RCG 12 fr. I · Anexo 3, inciso a) viii)</t>
  </si>
  <si>
    <t xml:space="preserve">a) ix)</t>
  </si>
  <si>
    <t xml:space="preserve">Clave Única de Registro de Población y la clave del Registro Federal de Contribuyentes, cuando cuente con ellas, y</t>
  </si>
  <si>
    <t xml:space="preserve">RCG 12 fr. I · Anexo 3, inciso a) ix)</t>
  </si>
  <si>
    <t xml:space="preserve">a) x)</t>
  </si>
  <si>
    <t xml:space="preserve">Datos de la identificación con la que se identificó, consistentes en: nombre de la identificación; autoridad que la emite, y número de la misma.</t>
  </si>
  <si>
    <t xml:space="preserve">RCG 12 fr. I · Anexo 3, inciso a) x)</t>
  </si>
  <si>
    <t xml:space="preserve">a) párrafo final</t>
  </si>
  <si>
    <t xml:space="preserve">Adicionalmente, tratándose de personas que tengan su lugar de residencia en el extranjero y a la vez cuenten con domicilio en territorio nacional en donde puedan recibir correspondencia dirigida a ellas, se deberá asentar en el expediente los datos relativos a dicho domicilio, con los mismos elementos que los contemplados en el numeral vi) anterior.</t>
  </si>
  <si>
    <t xml:space="preserve">RCG 12 fr. I · Anexo 3, inciso a) párrafo final</t>
  </si>
  <si>
    <t xml:space="preserve">b) i)</t>
  </si>
  <si>
    <t xml:space="preserve">Documento</t>
  </si>
  <si>
    <t xml:space="preserve">Identificación, que deberá ser, en todo caso, un documento original oficial emitido por autoridad competente, vigente o que la fecha de vencimiento, al momento de su presentación, no sea mayor a dos años, que contenga la fotografía, firma y, en su caso, domicilio del propio Cliente o Usuaria.</t>
  </si>
  <si>
    <t xml:space="preserve">RCG 12 fr. I · Anexo 3, inciso b) i)</t>
  </si>
  <si>
    <t xml:space="preserve">b) i) párrafo 2</t>
  </si>
  <si>
    <t xml:space="preserve">Para efectos de lo dispuesto por este numeral, se considerarán como documentos válidos de identificación la credencial para votar expedida por el Instituto Nacional Electoral, así como cualquier identificación vigente, excepto la cédula profesional, o que la fecha de vencimiento, al momento de su presentación, no sea mayor a dos años con fotografía y firma, emitida por autoridades mexicanas federales, estatales o municipales, y las demás que, en su caso, apruebe la UIF. Asimismo, respecto de las personas físicas de nacionalidad extranjera, se considerarán como documentos válidos de identificación, además de los anteriormente referidos en este párrafo, el pasaporte o la documentación expedida por el Instituto Nacional de Migración que acredite su condición de estancia en el país;</t>
  </si>
  <si>
    <t xml:space="preserve">RCG 12 fr. I · Anexo 3, inciso b) i) párrafo 2</t>
  </si>
  <si>
    <t xml:space="preserve">Se excluye expresamente la cédula profesional como identificación válida.</t>
  </si>
  <si>
    <t xml:space="preserve">b) ii)</t>
  </si>
  <si>
    <t xml:space="preserve">Constancia de la Clave Única de Registro de Población, expedida por la Secretaría de Gobernación o Cédula de Identificación Fiscal expedida por el SAT, cuando el Cliente o Usuaria cuente con ellas; No será necesario presentar la constancia de la Clave Única de Registro de Población si esta aparece en otro documento o identificación oficial.</t>
  </si>
  <si>
    <t xml:space="preserve">RCG 12 fr. I · Anexo 3, inciso b) ii)</t>
  </si>
  <si>
    <t xml:space="preserve">Simplificación real: se elimina la constancia de CURP cuando la CURP consta en otra identificación (p. ej. la credencial del INE).</t>
  </si>
  <si>
    <t xml:space="preserve">b) iii)</t>
  </si>
  <si>
    <t xml:space="preserve">Comprobante que acredite el domicilio, cuando el domicilio manifestado por el Cliente o Usuaria de quien realice la Actividad Vulnerable no coincida con el de la identificación o ésta no lo contenga. En este supuesto, será necesario que quien realice la Actividad Vulnerable recabe e integre al expediente respectivo copia de un documento que acredite el domicilio del Cliente o Usuaria, que podrá ser algún recibo de pago por servicios domiciliados o estados de cuenta bancarios, todos ellos con una antigüedad no mayor a tres meses a su fecha de emisión, o el contrato de arrendamiento vigente a la fecha de presentación por el Cliente o Usuaria y registrado ante la autoridad fiscal competente, la Constancia de inscripción en el Registro Federal de Contribuyentes, así como los demás que, en su caso, apruebe la UIF;</t>
  </si>
  <si>
    <t xml:space="preserve">RCG 12 fr. I · Anexo 3, inciso b) iii)</t>
  </si>
  <si>
    <t xml:space="preserve">b) iv)</t>
  </si>
  <si>
    <t xml:space="preserve">Constancia</t>
  </si>
  <si>
    <t xml:space="preserve">Constancia por la que se acredite que quien realice la Actividad Vulnerable solicitó a su Cliente o Usuaria, información acerca de si tiene conocimiento de la existencia del Beneficiario Controlador, la cual deberá estar firmada por el Cliente o Usuaria de manera autógrafa o bien, mediante Firma Electrónica.</t>
  </si>
  <si>
    <t xml:space="preserve">RCG 12 fr. I · Anexo 3, inciso b) iv)</t>
  </si>
  <si>
    <t xml:space="preserve">Dos cambios sustantivos: (1) Dueño Beneficiario pasa a Beneficiario Controlador; (2) se admite Firma Electrónica además de la autógrafa.</t>
  </si>
  <si>
    <t xml:space="preserve">b) iv) párrafo 2</t>
  </si>
  <si>
    <t xml:space="preserve">En el supuesto en que la persona física manifieste que sí tiene conocimiento de la existencia del Beneficiario Controlador, quien realice la Actividad Vulnerable deberá identificarlo de conformidad a lo dispuesto en la fracción VII del artículo 12 de las presentes reglas, cuando dicho Cliente o Usuaria cuente con dicha información, y</t>
  </si>
  <si>
    <t xml:space="preserve">RCG 12 fr. I · Anexo 3, inciso b) iv) párrafo 2</t>
  </si>
  <si>
    <t xml:space="preserve">Cambio de figura (BC) y de redacción. Se conserva el condicionante “cuando cuente con dicha información”.</t>
  </si>
  <si>
    <t xml:space="preserve">b) v)</t>
  </si>
  <si>
    <t xml:space="preserve">Carta poder o copia certificada del documento expedido por fedatario público, según corresponda, para el caso en que la persona física actúe como apoderado de otra persona, las cuales deberán cumplir los términos establecidos en la legislación común, a fin de que se acrediten las facultades conferidas al apoderado, así como copia de una identificación oficial y comprobante de domicilio de este, que cumplan con los requisitos señalados en este Anexo respecto de dichos documentos, con independencia de los datos y documentos relativos al poderdante.</t>
  </si>
  <si>
    <t xml:space="preserve">RCG 12 fr. I · Anexo 3, inciso b) v)</t>
  </si>
  <si>
    <t xml:space="preserve">Denominación o razón social;</t>
  </si>
  <si>
    <t xml:space="preserve">RCG 12 fr. II · Anexo 4, inciso a) i)</t>
  </si>
  <si>
    <t xml:space="preserve">Fecha de constitución;</t>
  </si>
  <si>
    <t xml:space="preserve">RCG 12 fr. II · Anexo 4, inciso a) ii)</t>
  </si>
  <si>
    <t xml:space="preserve">RCG 12 fr. II · Anexo 4, inciso a) iii)</t>
  </si>
  <si>
    <t xml:space="preserve">Actividad, giro mercantil, actividad u objeto social para los casos en que se establezca una Relación de Negocios;</t>
  </si>
  <si>
    <t xml:space="preserve">RCG 12 fr. II · Anexo 4, inciso a) iv)</t>
  </si>
  <si>
    <t xml:space="preserve">Domicilio, compuesto de los elementos siguientes: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en su caso; código postal y país;</t>
  </si>
  <si>
    <t xml:space="preserve">RCG 12 fr. II · Anexo 4, inciso a) v)</t>
  </si>
  <si>
    <t xml:space="preserve">Número(s) de teléfono de dicho domicilio, incluida la clave de larga distancia y, en su caso, extensión, cuando cuenten con aquél;</t>
  </si>
  <si>
    <t xml:space="preserve">RCG 12 fr. II · Anexo 4, inciso a) vi)</t>
  </si>
  <si>
    <t xml:space="preserve">RCG 12 fr. II · Anexo 4, inciso a) vii)</t>
  </si>
  <si>
    <t xml:space="preserve">Clave del Registro Federal de Contribuyentes, cuando cuente con ella, y</t>
  </si>
  <si>
    <t xml:space="preserve">RCG 12 fr. II · Anexo 4, inciso a) viii)</t>
  </si>
  <si>
    <t xml:space="preserve">Nombre(s), primer y segundo apellidos o, en caso de ser extranjero, los apellidos completos que correspondan y nombre (s), sin abreviaturas, así como fecha de nacimiento, clave del Registro Federal de Contribuyentes o Clave Única de Registro de Población del representante, apoderados legales o personas que realicen el acto u operación a nombre de la persona moral de que se trate. Asimismo, deberán recabar datos de su identificación, consistentes en: nombre de la identificación; autoridad que la emite, y número de la misma;</t>
  </si>
  <si>
    <t xml:space="preserve">RCG 12 fr. II · Anexo 4, inciso a) ix)</t>
  </si>
  <si>
    <t xml:space="preserve">Testimonio o copia certificada del instrumento público que acredite su constitución e inscripción en el registro público que corresponda, de acuerdo con la naturaleza de la persona moral, o de cualquier instrumento en el que consten los datos de su constitución y los de su inscripción en dicho registro, o bien, del documento que, de acuerdo con su naturaleza o el régimen que le resulte aplicable a la persona moral de que se trate, acredite su existencia.</t>
  </si>
  <si>
    <t xml:space="preserve">RCG 12 fr. II · Anexo 4, inciso b) i)</t>
  </si>
  <si>
    <t xml:space="preserve">En caso de que la persona moral sea de reciente constitución y, en tal virtud, no se encuentre aún inscrita en el registro público que corresponda de acuerdo con su naturaleza, quien realice la Actividad Vulnerable de que se trate deberá obtener un escrito firmado por persona legalmente facultada que acredite su personalidad en términos del instrumento público que acredite su constitución a que se refiere el inciso b) numeral iv) de este Anexo, en el que conste la obligación de llevar a cabo la inscripción respectiva y proporcionar, en su oportunidad, los datos correspondientes a quien realice la Actividad Vulnerable;</t>
  </si>
  <si>
    <t xml:space="preserve">RCG 12 fr. II · Anexo 4, inciso b) i) párrafo 2</t>
  </si>
  <si>
    <t xml:space="preserve">Cédula de Identificación Fiscal expedida por el SAT, en caso de contar con ésta;</t>
  </si>
  <si>
    <t xml:space="preserve">RCG 12 fr. II · Anexo 4, inciso b) ii)</t>
  </si>
  <si>
    <t xml:space="preserve">Comprobante que acredite el domicilio a que se refiere el numeral v), del inciso a) anterior, que podrá ser algún recibo de pago por servicios domiciliados o estados de cuenta bancarios, todos ellos con una antigüedad no mayor a tres meses a su fecha de emisión, o el contrato de arrendamiento vigente a la fecha de presentación por el Cliente o Usuaria y registrado ante la autoridad fiscal competente, la Constancia de inscripción en el Registro Federal de Contribuyentes, así como los demás que, en su caso, apruebe la UIF;</t>
  </si>
  <si>
    <t xml:space="preserve">RCG 12 fr. II · Anexo 4, inciso b) iii)</t>
  </si>
  <si>
    <t xml:space="preserve">Testimonio o copia certificada del instrumento que contenga los poderes del representante o apoderados legales, expedido por fedatario público, cuando no estén contenidos en el instrumento público que acredite la constitución de la persona moral de que se trate, así como la identificación de cada uno de dichos representantes, apoderados legales o personas que realicen el acto u operación a nombre de dicha persona moral, que deberá ser, en todo caso, un documento original oficial emitido por autoridad competente, vigente o que la fecha de vencimiento, al momento de su presentación no sea mayor a dos años, que contenga la fotografía, firma y, en su caso, domicilio de la referida persona. Para efectos de lo dispuesto por este numeral, se considerarán como documentos válidos de identificación la credencial para votar expedida por el Instituto Nacional Electoral, así como cualquier identificación vigente, excepto la cédula profesional, o que la fecha de vencimiento, al momento de su presentación, no sea mayor a dos años con fotografía y firma, emitida por autoridades mexicanas federales, estatales o municipales, y las demás que, en su caso, apruebe la UIF.</t>
  </si>
  <si>
    <t xml:space="preserve">RCG 12 fr. II · Anexo 4, inciso b) iv)</t>
  </si>
  <si>
    <t xml:space="preserve">Asimismo, respecto de las personas físicas de nacionalidad extranjera, se considerarán como documentos válidos de identificación, además de los anteriormente referidos en este numeral, el pasaporte o la documentación expedida por el Instituto Nacional de Migración que acredite su condición de estancia en el país, y</t>
  </si>
  <si>
    <t xml:space="preserve">RCG 12 fr. II · Anexo 4, inciso b) iv) párrafo 2</t>
  </si>
  <si>
    <t xml:space="preserve">Quien realice la Actividad Vulnerable deberá identificar de conformidad a lo dispuesto en la fracción VII, segundo párrafo del artículo 12 de las presentes reglas, al Beneficiario Controlador. En el supuesto en que el representante o apoderados legales de la persona moral manifiesten que sí tienen conocimiento de la existencia del Dueño Beneficiario, quien realice la Actividad Vulnerable deberá identificarlo de conformidad a lo dispuesto en la fracción VII del artículo 12 de las presentes Reglas, cuando dicho Cliente o Usuario cuente con dicha información.</t>
  </si>
  <si>
    <t xml:space="preserve">RCG 12 fr. II · Anexo 4, inciso b) v)</t>
  </si>
  <si>
    <t xml:space="preserve">Sustitución total del requisito: desaparece la constancia declarativa y nace la obligación directa de identificar al Beneficiario Controlador conforme al artículo 12, fracción VII, segundo párrafo.</t>
  </si>
  <si>
    <t xml:space="preserve">Persona moral mexicana de derecho público</t>
  </si>
  <si>
    <t xml:space="preserve">Nombre de la persona moral mexicana de derecho público que corresponda;</t>
  </si>
  <si>
    <t xml:space="preserve">RCG 12 fr. II Bis · Anexo 4 Bis, inciso a) i)</t>
  </si>
  <si>
    <t xml:space="preserve">Fecha de creación o de constitución;</t>
  </si>
  <si>
    <t xml:space="preserve">RCG 12 fr. II Bis · Anexo 4 Bis, inciso a) ii)</t>
  </si>
  <si>
    <t xml:space="preserve">RCG 12 fr. II Bis · Anexo 4 Bis, inciso a) iii)</t>
  </si>
  <si>
    <t xml:space="preserve">RCG 12 fr. II Bis · Anexo 4 Bis, inciso a) iv)</t>
  </si>
  <si>
    <t xml:space="preserve">RCG 12 fr. II Bis · Anexo 4 Bis, inciso a) v)</t>
  </si>
  <si>
    <t xml:space="preserve">RCG 12 fr. II Bis · Anexo 4 Bis, inciso a) vi)</t>
  </si>
  <si>
    <t xml:space="preserve">Nombre(s), primer y segundo apellidos, sin abreviaturas, así como fecha de nacimiento, clave del Registro Federal de Contribuyentes o Clave Única de Registro de Población de los servidores públicos que realicen el acto u operación a nombre de la persona moral mexicana de derecho público de que se trate. Asimismo, deberán recabar datos de su identificación, consistentes en: nombre de la identificación; autoridad que la emite, y número de la misma;</t>
  </si>
  <si>
    <t xml:space="preserve">RCG 12 fr. II Bis · Anexo 4 Bis, inciso a) vii)</t>
  </si>
  <si>
    <t xml:space="preserve">Documento que sirva para acreditar su legal existencia;</t>
  </si>
  <si>
    <t xml:space="preserve">RCG 12 fr. II Bis · Anexo 4 Bis, inciso b) i)</t>
  </si>
  <si>
    <t xml:space="preserve">RCG 12 fr. II Bis · Anexo 4 Bis, inciso b) ii)</t>
  </si>
  <si>
    <t xml:space="preserve">Comprobante que acredite el domicilio a que se refiere el numeral iii), del inciso a) anterior, que podrá ser algún recibo de pago por servicios domiciliados o estados de cuenta bancarios, todos ellos con una antigüedad no mayor a tres meses a su fecha de emisión, o el contrato de arrendamiento vigente a la fecha de presentación por el Cliente o Usuaria y registrado ante la autoridad fiscal competente, la Constancia de inscripción en el Registro Federal de Contribuyentes, así como los demás que, en su caso, apruebe la UIF, y</t>
  </si>
  <si>
    <t xml:space="preserve">RCG 12 fr. II Bis · Anexo 4 Bis, inciso b) iii)</t>
  </si>
  <si>
    <t xml:space="preserve">Documento que sirva para comprobar las facultades de los servidores públicos que realicen el acto u operación a nombre de la persona moral mexicana de derecho público, para la cual deberá estarse a lo que dispongan las leyes, reglamentos, decretos o estatutos orgánicos que las creen y regulen su constitución y operación y, en su caso, copia certificada de su nombramiento o por instrumento público expedido por fedatario, según corresponda, así como la identificación de cada uno de los servidores públicos que realicen el acto u operación a nombre de la persona moral mexicana de derecho público, que deberá ser, en todo caso, un documento original oficial emitido por autoridad competente, vigente o que la fecha de vencimiento, al momento de su presentación, no sea mayor a dos años, que contenga la fotografía, firma y, en su caso, domicilio de la referida persona. Para efectos de lo dispuesto por este numeral, se considerarán como documentos válidos de identificación la credencial para votar expedida por el Instituto Nacional Electoral, así como cualquier identificación vigente, excepto cédula profesional, o que la fecha de vencimiento, al momento de su presentación, no sea mayor a dos años con fotografía y firma, emitida por autoridades mexicanas federales, estatales o municipales y, las demás que, en su caso, apruebe la UIF.</t>
  </si>
  <si>
    <t xml:space="preserve">RCG 12 fr. II Bis · Anexo 4 Bis, inciso b) iv)</t>
  </si>
  <si>
    <t xml:space="preserve">Persona física extranjera (visitante)</t>
  </si>
  <si>
    <t xml:space="preserve">Apellidos completos que correspondan y nombre(s), sin abreviaturas;</t>
  </si>
  <si>
    <t xml:space="preserve">RCG 12 fr. III · Anexo 5, inciso a) i)</t>
  </si>
  <si>
    <t xml:space="preserve">RCG 12 fr. III · Anexo 5, inciso a) ii)</t>
  </si>
  <si>
    <t xml:space="preserve">RCG 12 fr. III · Anexo 5, inciso a) iii)</t>
  </si>
  <si>
    <t xml:space="preserve">RCG 12 fr. III · Anexo 5, inciso a) iv)</t>
  </si>
  <si>
    <t xml:space="preserve">RCG 12 fr. III · Anexo 5, inciso a) v)</t>
  </si>
  <si>
    <t xml:space="preserve">Domicilio de su lugar de residencia, compuesto de los elementos siguientes: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en su caso; código postal y país, y</t>
  </si>
  <si>
    <t xml:space="preserve">RCG 12 fr. III · Anexo 5, inciso a) vi)</t>
  </si>
  <si>
    <t xml:space="preserve">Datos del documento con el que se identificó, consistentes en: nombre de la acreditación; autoridad que la emite, y número de la misma.</t>
  </si>
  <si>
    <t xml:space="preserve">RCG 12 fr. III · Anexo 5, inciso a) vii)</t>
  </si>
  <si>
    <t xml:space="preserve">Adicionalmente, tratándose de personas que tengan su lugar de residencia en el extranjero y a la vez cuenten con domicilio en territorio nacional en donde puedan recibir correspondencia dirigida a ellas, se deberá asentar en el expediente los datos relativos a dicho domicilio, con los mismos elementos que los contemplados en este Anexo.</t>
  </si>
  <si>
    <t xml:space="preserve">RCG 12 fr. III · Anexo 5, inciso a) párrafo final</t>
  </si>
  <si>
    <t xml:space="preserve">Pasaporte o documento original oficial emitido por autoridad competente del país de origen, vigente o que la fecha de vencimiento, al momento de su presentación, no sea mayor a dos años, que contenga la fotografía, firma y, en su caso, domicilio del referido Cliente o Usuaria, que acredite su nacionalidad;</t>
  </si>
  <si>
    <t xml:space="preserve">RCG 12 fr. III · Anexo 5, inciso b) i)</t>
  </si>
  <si>
    <t xml:space="preserve">Documento oficial expedido por el Instituto Nacional de Migración, que acredite su internación o legal estancia en el país, cuando cuente con este;</t>
  </si>
  <si>
    <t xml:space="preserve">RCG 12 fr. III · Anexo 5, inciso b) ii)</t>
  </si>
  <si>
    <t xml:space="preserve">Comprobante que acredite el domicilio de su lugar de residencia, cuando el domicilio manifestado por el Cliente o Usuaria a quien realice la Actividad Vulnerable no coincida con el de la identificación o ésta no lo contenga. En este supuesto, será necesario que quien realice la Actividad Vulnerable recabe e integre al expediente respectivo copia de un documento que acredite el domicilio del Cliente o Usuaria, que podrá ser algún recibo de pago por servicios domiciliados o estados de cuenta bancarios, todos ellos con una antigüedad no mayor a tres meses a su fecha de emisión, o el contrato de arrendamiento vigente a la fecha de presentación por el Cliente o Usuaria y registrado ante la autoridad fiscal competente, la Constancia de inscripción en el Registro Federal de Contribuyentes, así como los demás que, en su caso, apruebe la UIF.</t>
  </si>
  <si>
    <t xml:space="preserve">RCG 12 fr. III · Anexo 5, inciso b) iii)</t>
  </si>
  <si>
    <t xml:space="preserve">b) iii) párrafo 3</t>
  </si>
  <si>
    <t xml:space="preserve">Para la realización de las Actividades Vulnerables previstas en las fracciones I, II –salvo en los casos de tarjetas de crédito o de servicios–, III, VI, VII, XIII, XIV y XVI del artículo 17 de la Ley, quienes realicen la Actividad Vulnerable de que se trate deberán recabar e integrar al expediente respectivo una constancia firmada por el Cliente o Usuaria donde manifieste el domicilio y los elementos contemplados en el numeral vi) del inciso a) del presente Anexo;</t>
  </si>
  <si>
    <t xml:space="preserve">RCG 12 fr. III · Anexo 5, inciso b) iii) párrafo 3</t>
  </si>
  <si>
    <t xml:space="preserve">Se incorpora la fracción XVI del artículo 17 de la Ley (nueva Actividad Vulnerable) al régimen de constancia de domicilio.</t>
  </si>
  <si>
    <t xml:space="preserve">Constancia por la que se acredite que quien realice la Actividad Vulnerable solicitó a su Cliente o Usuaria información acerca de si tiene conocimiento de la existencia del Beneficiario Controlador, la cual deberá estar firmada por el Cliente o Usuaria de manera autógrafa o bien, mediante Firma Electrónica.</t>
  </si>
  <si>
    <t xml:space="preserve">RCG 12 fr. III · Anexo 5, inciso b) iv)</t>
  </si>
  <si>
    <t xml:space="preserve">Dueño Beneficiario pasa a Beneficiario Controlador; además cambia quién firma: ya no “los que participen directamente en el acto u operación” sino el propio Cliente o Usuaria, con firma autógrafa o electrónica.</t>
  </si>
  <si>
    <t xml:space="preserve">RCG 12 fr. III · Anexo 5, inciso b) iv) párrafo 2</t>
  </si>
  <si>
    <t xml:space="preserve">Cambio de figura: Dueño Beneficiario a Beneficiario Controlador.</t>
  </si>
  <si>
    <t xml:space="preserve">Carta poder o copia certificada del documento expedido por fedatario público, según corresponda, para el caso en que la persona física actúe como apoderado de otra persona, las cuales deberán cumplir los términos establecidos en la legislación común, a fin de que se acrediten las facultades conferidas al apoderado, así como copia de una identificación oficial, excepto cédula profesional, y comprobante de domicilio de este, que cumplan con los requisitos señalados en este Anexo respecto de dichos documentos, con independencia de los datos y documentos relativos al poderdante.</t>
  </si>
  <si>
    <t xml:space="preserve">RCG 12 fr. III · Anexo 5, inciso b) v)</t>
  </si>
  <si>
    <t xml:space="preserve">Se excluye la cédula profesional también para el apoderado.</t>
  </si>
  <si>
    <t xml:space="preserve">Persona moral extranjera</t>
  </si>
  <si>
    <t xml:space="preserve">RCG 12 fr. IV · Anexo 6, inciso a) i)</t>
  </si>
  <si>
    <t xml:space="preserve">RCG 12 fr. IV · Anexo 6, inciso a) ii)</t>
  </si>
  <si>
    <t xml:space="preserve">RCG 12 fr. IV · Anexo 6, inciso a) iii)</t>
  </si>
  <si>
    <t xml:space="preserve">Actividad, giro mercantil, u objeto social para los casos en que se establezca una Relación de Negocios;</t>
  </si>
  <si>
    <t xml:space="preserve">RCG 12 fr. IV · Anexo 6, inciso a) iv)</t>
  </si>
  <si>
    <t xml:space="preserve">Clave del Registro Federal de Contribuyentes o, en su caso, número de identificación fiscal de su país de nacionalidad, cuando cuente con ellas;</t>
  </si>
  <si>
    <t xml:space="preserve">RCG 12 fr. IV · Anexo 6, inciso a) v)</t>
  </si>
  <si>
    <t xml:space="preserve">RCG 12 fr. IV · Anexo 6, inciso a) vi)</t>
  </si>
  <si>
    <t xml:space="preserve">RCG 12 fr. IV · Anexo 6, inciso a) vii)</t>
  </si>
  <si>
    <t xml:space="preserve">Correo electrónico, en su caso, y</t>
  </si>
  <si>
    <t xml:space="preserve">RCG 12 fr. IV · Anexo 6, inciso a) viii)</t>
  </si>
  <si>
    <t xml:space="preserve">Nombre(s) y primer y segundo apellidos o, en caso de ser extranjero, los apellidos completos que correspondan y nombre(s), sin abreviaturas, así como fecha de nacimiento, clave del Registro Federal de Contribuyentes o Clave Única de Registro de Población del representante, apoderados legales o personas que realicen el acto u operación a nombre de la persona moral de que se trate. Asimismo, deberán recabar datos de su identificación, consistentes en: nombre de la identificación; autoridad que la emite, y número de la misma;</t>
  </si>
  <si>
    <t xml:space="preserve">RCG 12 fr. IV · Anexo 6, inciso a) ix)</t>
  </si>
  <si>
    <t xml:space="preserve">Documento que compruebe su constitución;</t>
  </si>
  <si>
    <t xml:space="preserve">RCG 12 fr. IV · Anexo 6, inciso b) i)</t>
  </si>
  <si>
    <t xml:space="preserve">Comprobante que acredite el domicilio a que se refiere el numeral vi), del inciso a) anterior, que podrá ser algún recibo de pago por servicios domiciliados o estados de cuenta bancarios, todos ellos con una antigüedad no mayor a tres meses a su fecha de emisión, o el contrato de arrendamiento vigente a la fecha de presentación por el Cliente o Usuaria y registrado ante la autoridad fiscal competente, la Constancia de inscripción en el Registro Federal de Contribuyentes, así como los demás que, en su caso, apruebe la UIF;</t>
  </si>
  <si>
    <t xml:space="preserve">RCG 12 fr. IV · Anexo 6, inciso b) ii)</t>
  </si>
  <si>
    <t xml:space="preserve">Testimonio o copia certificada del instrumento que contenga los poderes del representante o apoderados legales, expedido por fedatario público, cuando no estén contenidos en el documento que compruebe la constitución de la persona moral de que se trate, así como la identificación de dichos representantes, apoderados legales o personas que realicen el acto u operación con dicha persona moral, que deberá ser, en todo caso, un documento original oficial emitido por autoridad competente, vigente o que la fecha de vencimiento, al momento de su presentación, no sea mayor a dos años a la fecha de su presentación, que contenga la fotografía, firma y, en su caso, domicilio de la referida persona.</t>
  </si>
  <si>
    <t xml:space="preserve">RCG 12 fr. IV · Anexo 6, inciso b) iii)</t>
  </si>
  <si>
    <t xml:space="preserve">b) iii) párrafo 2</t>
  </si>
  <si>
    <t xml:space="preserve">Para efectos de lo dispuesto por este numeral, se considerarán como documentos válidos de identificación la credencial para votar expedida por el Instituto Nacional Electoral, así como cualquier identificación vigente, excepto cédula profesional, o que la fecha de vencimiento, al momento de su presentación, no sea mayor a dos años con fotografía y firma, emitida por autoridades mexicanas federales, estatales y municipales, y las demás que, en su caso, apruebe la UIF. Asimismo, respecto de las personas físicas de nacionalidad extranjera, se considerarán como documentos válidos de identificación, además de los anteriormente referidos en este párrafo, el pasaporte o la documentación expedida por el Instituto Nacional de Migración que acredite su condición de estancia en el país. En el caso de aquellos representantes o apoderados legales de nacionalidad extranjera que no cuenten con pasaporte, la identificación deberá ser, en todo caso, un documento original oficial emitido por autoridad competente del país de origen, vigente o que la fecha de vencimiento, al momento de su presentación, no sea mayor a dos años a la fecha de su presentación, que contenga la fotografía, firma y, en su caso, domicilio del citado representante. Para efectos de lo anterior, se considerarán como documentos válidos de identificación, la licencia de conducir y las credenciales emitidas por autoridades federales del país de que se trate.</t>
  </si>
  <si>
    <t xml:space="preserve">RCG 12 fr. IV · Anexo 6, inciso b) iii) párrafo 2</t>
  </si>
  <si>
    <t xml:space="preserve">Se excluye la cédula profesional del catálogo de identificaciones válidas.</t>
  </si>
  <si>
    <t xml:space="preserve">Cédula de Identificación Fiscal expedida por el SAT o en su defecto, comprobante de asignación del número de identificación fiscal, emitido por autoridad competente de su país de nacionalidad, cuando cuenten con cualquiera de éstas, y</t>
  </si>
  <si>
    <t xml:space="preserve">RCG 12 fr. IV · Anexo 6, inciso b) iv)</t>
  </si>
  <si>
    <t xml:space="preserve">Quien realice la Actividad Vulnerable deberá identificar de conformidad a lo dispuesto en la fracción VII, segundo párrafo del artículo 12 de las presentes reglas, al Beneficiario Controlador.</t>
  </si>
  <si>
    <t xml:space="preserve">RCG 12 fr. IV · Anexo 6, inciso b) v)</t>
  </si>
  <si>
    <t xml:space="preserve">Desaparece la constancia declarativa y se sustituye por la obligación directa de IDENTIFICAR al Beneficiario Controlador. Ya no basta con preguntar y documentar la respuesta.</t>
  </si>
  <si>
    <t xml:space="preserve">Embajada, consulado u organismo internacional</t>
  </si>
  <si>
    <t xml:space="preserve">Denominación o nombre;</t>
  </si>
  <si>
    <t xml:space="preserve">RCG 12 fr. IV Bis · Anexo 6 Bis, inciso a) i)</t>
  </si>
  <si>
    <t xml:space="preserve">Fecha de establecimiento en territorio nacional o clave del Registro Federal de Contribuyentes;</t>
  </si>
  <si>
    <t xml:space="preserve">RCG 12 fr. IV Bis · Anexo 6 Bis, inciso a) ii)</t>
  </si>
  <si>
    <t xml:space="preserve">Domicilio compuesto de los elementos siguientes: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y, en su caso, código postal;</t>
  </si>
  <si>
    <t xml:space="preserve">RCG 12 fr. IV Bis · Anexo 6 Bis, inciso a) iii)</t>
  </si>
  <si>
    <t xml:space="preserve">RCG 12 fr. IV Bis · Anexo 6 Bis, inciso a) iv)</t>
  </si>
  <si>
    <t xml:space="preserve">RCG 12 fr. IV Bis · Anexo 6 Bis, inciso a) v)</t>
  </si>
  <si>
    <t xml:space="preserve">Nombre(s), primer y segundo apellidos, sin abreviaturas, así como fecha de nacimiento, clave del Registro Federal de Contribuyentes o Clave Única de Registro de Población del representante, apoderados legales o personas que realicen el acto u operación a nombre de la persona moral de que se trate. Asimismo, deberán recabar datos de su identificación, consistentes en: nombre de la identificación; autoridad que la emite, y número de la misma;</t>
  </si>
  <si>
    <t xml:space="preserve">RCG 12 fr. IV Bis · Anexo 6 Bis, inciso a) vi)</t>
  </si>
  <si>
    <t xml:space="preserve">Documento que compruebe su constitución, representación o establecimiento en nuestro país, como puede ser el certificado de matrícula consular;</t>
  </si>
  <si>
    <t xml:space="preserve">RCG 12 fr. IV Bis · Anexo 6 Bis, inciso b) i)</t>
  </si>
  <si>
    <t xml:space="preserve">Comprobante que acredite el domicilio a que se refiere el numeral iv), del inciso a) anterior, que podrá ser algún recibo de pago por servicios domiciliados o estados de cuenta bancarios, todos ellos con una antigüedad no mayor a tres meses a su fecha de emisión, o el contrato de arrendamiento vigente a la fecha de presentación por el Cliente o Usuaria y registrado ante la autoridad fiscal competente, la Constancia de inscripción en el Registro Federal de Contribuyentes, así como los demás que, en su caso, apruebe la UIF;</t>
  </si>
  <si>
    <t xml:space="preserve">RCG 12 fr. IV Bis · Anexo 6 Bis, inciso b) ii)</t>
  </si>
  <si>
    <t xml:space="preserve">Testimonio o copia certificada del instrumento que contenga los poderes del representante o apoderados legales, expedido por fedatario público, o documento emitido por autoridad competente que compruebe la representación de la persona física que actúa a nombre de la persona moral de que se trate, cuando no estén contenidos en el documento que compruebe la constitución, representación o establecimiento de dicha persona moral, así como la identificación de los representantes, apoderados legales o personas físicas antes mencionadas, que deberá ser, en todo caso, un documento original oficial emitido por autoridad competente, vigente o que la fecha de vencimiento, al momento de su presentación, no sea mayor a dos años, que contenga la fotografía, firma y, en su caso, domicilio de la referida persona.</t>
  </si>
  <si>
    <t xml:space="preserve">RCG 12 fr. IV Bis · Anexo 6 Bis, inciso b) iii)</t>
  </si>
  <si>
    <t xml:space="preserve">Para efectos de lo dispuesto por este numeral, se considerarán como documentos válidos de identificación cualquier identificación vigente, excepto cédula profesional, o que la fecha de vencimiento, al momento de su presentación, no sea mayor a dos años con fotografía y firma, emitida por autoridades federales, estatales o municipales, el pasaporte o la documentación expedida por el Instituto Nacional de Migración que acredite su condición de estancia en el país y las demás que, en su caso, apruebe la UIF.</t>
  </si>
  <si>
    <t xml:space="preserve">RCG 12 fr. IV Bis · Anexo 6 Bis, inciso b) iii) párrafo 2</t>
  </si>
  <si>
    <t xml:space="preserve">En el caso de aquellos representantes o apoderados legales que se encuentren fuera del territorio nacional y que no cuenten con pasaporte, la identificación deberá ser, en todo caso, un documento original oficial emitido por autoridad competente del país de origen, vigente o que la fecha de vencimiento, al momento de su presentación, no sea mayor a dos años, que contenga la fotografía, firma y, en su caso, domicilio del citado representante. Para efectos de lo anterior, se considerarán como documentos válidos de identificación, la licencia de conducir y las credenciales emitidas por autoridades federales del país de que se trate;</t>
  </si>
  <si>
    <t xml:space="preserve">RCG 12 fr. IV Bis · Anexo 6 Bis, inciso b) iii) párrafo 3</t>
  </si>
  <si>
    <t xml:space="preserve">RCG 12 fr. IV Bis · Anexo 6 Bis, inciso b) iv)</t>
  </si>
  <si>
    <t xml:space="preserve">Régimen simplificado · Anexo 7-A</t>
  </si>
  <si>
    <t xml:space="preserve">RCG 12 fr. V · Anexo 7, inciso a) i)</t>
  </si>
  <si>
    <t xml:space="preserve">Actividad u objeto social cuando se establezca una Relación de Negocios;</t>
  </si>
  <si>
    <t xml:space="preserve">RCG 12 fr. V · Anexo 7, inciso a) ii)</t>
  </si>
  <si>
    <t xml:space="preserve">Fecha de constitución o clave del Registro Federal de Contribuyentes;</t>
  </si>
  <si>
    <t xml:space="preserve">RCG 12 fr. V · Anexo 7, inciso a) iii)</t>
  </si>
  <si>
    <t xml:space="preserve">Domicilio compuesto de los elementos siguientes: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en su caso; código postal y país;</t>
  </si>
  <si>
    <t xml:space="preserve">RCG 12 fr. V · Anexo 7, inciso a) iv)</t>
  </si>
  <si>
    <t xml:space="preserve">RCG 12 fr. V · Anexo 7, inciso a) v)</t>
  </si>
  <si>
    <t xml:space="preserve">RCG 12 fr. V · Anexo 7, inciso a) vi)</t>
  </si>
  <si>
    <t xml:space="preserve">Nombre(s), primer y segundo apellidos, sin abreviaturas, así como fecha de nacimiento, clave del Registro Federal de Contribuyentes o Clave Única de Registro de Población del representante, apoderados legales o personas que realicen el acto u operación a nombre de la persona moral de que se trate. Asimismo, deberán recabar datos de su identificación, consistentes en: nombre de la identificación; autoridad que la emite, y número de la misma.</t>
  </si>
  <si>
    <t xml:space="preserve">RCG 12 fr. V · Anexo 7, inciso a) vii)</t>
  </si>
  <si>
    <t xml:space="preserve">Régimen simplificado de derecho público · Anexo 7 Bis-A</t>
  </si>
  <si>
    <t xml:space="preserve">Nombre de la persona moral de derecho público que corresponda;</t>
  </si>
  <si>
    <t xml:space="preserve">RCG 12 fr. V Bis · Anexo 7 Bis, inciso a) i)</t>
  </si>
  <si>
    <t xml:space="preserve">Fecha de creación o clave del Registro Federal de Contribuyentes, y</t>
  </si>
  <si>
    <t xml:space="preserve">RCG 12 fr. V Bis · Anexo 7 Bis, inciso a) ii)</t>
  </si>
  <si>
    <t xml:space="preserve">Domicilio, compuesto de los elementos siguientes: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en su caso, y código postal, y</t>
  </si>
  <si>
    <t xml:space="preserve">RCG 12 fr. V Bis · Anexo 7 Bis, inciso a) iii)</t>
  </si>
  <si>
    <t xml:space="preserve">Nombre(s), primer y segundo apellidos, sin abreviaturas, así como fecha de nacimiento de los funcionarios o servidores públicos que realicen el acto u operación a nombre de la dependencia, entidad, oficina u organismo de que se trate.</t>
  </si>
  <si>
    <t xml:space="preserve">RCG 12 fr. V Bis · Anexo 7 Bis, inciso a) iv)</t>
  </si>
  <si>
    <t xml:space="preserve">Fideicomiso</t>
  </si>
  <si>
    <t xml:space="preserve">Denominación o razón social del fiduciario;</t>
  </si>
  <si>
    <t xml:space="preserve">RCG 12 fr. VI · Anexo 8, inciso a) i)</t>
  </si>
  <si>
    <t xml:space="preserve">Número, referencia o identificador del fideicomiso;</t>
  </si>
  <si>
    <t xml:space="preserve">RCG 12 fr. VI · Anexo 8, inciso a) ii)</t>
  </si>
  <si>
    <t xml:space="preserve">Clave del Registro Federal de Contribuyentes del fideicomiso, cuando cuente con ella, y</t>
  </si>
  <si>
    <t xml:space="preserve">RCG 12 fr. VI · Anexo 8, inciso a) iii)</t>
  </si>
  <si>
    <t xml:space="preserve">Nombre(s), primer y segundo apellidos, sin abreviaturas, así como, fecha de nacimiento, clave del Registro Federal de Contribuyentes o Clave Única de Registro de Población del apoderado legal o delegado fiduciario que, con su firma, puedan obligar al fideicomiso para efectos de la realización del acto u operación de que se trate. Asimismo, deberán recabar datos de la identificación con la que se identificó, consistentes en: nombre de la identificación; autoridad que la emite, y número de la misma;</t>
  </si>
  <si>
    <t xml:space="preserve">RCG 12 fr. VI · Anexo 8, inciso a) iv)</t>
  </si>
  <si>
    <t xml:space="preserve">Testimonio o copia certificada del instrumento que contenga la constitución del fideicomiso;</t>
  </si>
  <si>
    <t xml:space="preserve">RCG 12 fr. VI · Anexo 8, inciso b) i)</t>
  </si>
  <si>
    <t xml:space="preserve">Cédula de Identificación Fiscal del fideicomiso, expedida por el SAT, en caso de contar con ésta, y</t>
  </si>
  <si>
    <t xml:space="preserve">RCG 12 fr. VI · Anexo 8, inciso b) ii)</t>
  </si>
  <si>
    <t xml:space="preserve">Testimonio o copia certificada del instrumento que contenga los poderes del apoderado legal o delegado fiduciario, expedido por Fedatario Público, cuando no estén contenidos en el instrumento público que acredite la constitución del fideicomiso de que se trate, así como la identificación de cada uno de los referidos apoderados legales o delegados fiduciarios, que deberá ser, en todo caso, un documento original oficial emitido por autoridad competente, vigente o que la fecha de vencimiento, al momento de su presentación, no sea mayor a dos años, que contenga la fotografía, firma y, en su caso, domicilio de la referida persona.</t>
  </si>
  <si>
    <t xml:space="preserve">RCG 12 fr. VI · Anexo 8, inciso b) iii)</t>
  </si>
  <si>
    <t xml:space="preserve">Para efectos de lo dispuesto por este numeral, se considerarán como documentos válidos de identificación la credencial para votar expedida por el Instituto Nacional Electoral, así como cualquier identificación vigente, excepto cédula profesional, o que la fecha de vencimiento, al momento de su presentación, no sea mayor a dos años con fotografía y firma, emitida por autoridades mexicanas federales, estatales o municipales, y las demás que, en su caso, apruebe la UIF. Asimismo, respecto de las personas físicas de nacionalidad extranjera, se considerarán como documentos válidos de identificación, además de los anteriormente referidos en este párrafo, el pasaporte o la documentación expedida por el Instituto Nacional de Migración que acredite su condición de estancia en el país.</t>
  </si>
  <si>
    <t xml:space="preserve">RCG 12 fr. VI · Anexo 8, inciso b) iii) párrafo 2</t>
  </si>
  <si>
    <t xml:space="preserve">Quien realice la Actividad Vulnerable deberá identificar de conformidad a lo dispuesto en la fracción VII, segundo párrafo del artículo 12 de las presentes reglas, al Beneficiario Controlador del fideicomiso.</t>
  </si>
  <si>
    <t xml:space="preserve">RCG 12 fr. VI · Anexo 8, inciso b) iv)</t>
  </si>
  <si>
    <t xml:space="preserve">Numeral nuevo: cuando el CLIENTE es un fideicomiso, hay obligación expresa de identificar a su Beneficiario Controlador. Antes el Anexo 8 no contenía ninguna referencia a Dueño Beneficiario.</t>
  </si>
  <si>
    <t xml:space="preserve">Beneficiario Controlador</t>
  </si>
  <si>
    <t xml:space="preserve">Primer apellido, segundo apellido y nombre(s), sin abreviaturas o, en caso de ser extranjero, los apellidos completos que correspondan y nombre(s);</t>
  </si>
  <si>
    <t xml:space="preserve">RCG 12 fr. VII · Anexo 3, inciso a) i)</t>
  </si>
  <si>
    <t xml:space="preserve">La fracción VII del art. 12 ya existía. Lo nuevo: en persona moral y fideicomiso ya no basta la constancia declarativa — hay que identificar. NO se recaba en dos casos (RCG 23 Quinquies 2): cliente que cotiza en bolsa con clave de pizarra, y personas morales de los Anexos 4 Bis, 6 Bis, 7-A y 7 Bis A.</t>
  </si>
  <si>
    <t xml:space="preserve">RCG 12 fr. VII · Anexo 3, inciso a) ii)</t>
  </si>
  <si>
    <t xml:space="preserve">RCG 12 fr. VII · Anexo 3, inciso a) iv)</t>
  </si>
  <si>
    <t xml:space="preserve">Clave Única de Registro de Población y la clave del Registro Federal de Contribuyentes, cuando cuente con ellas.</t>
  </si>
  <si>
    <t xml:space="preserve">RCG 12 fr. VII · Anexo 3, inciso a) ix)</t>
  </si>
  <si>
    <t xml:space="preserve">EJEMPLO de captura (no lo cuentes: está fuera del rango del tablero)</t>
  </si>
  <si>
    <t xml:space="preserve">Denominación o razón social</t>
  </si>
  <si>
    <t xml:space="preserve">Sí</t>
  </si>
  <si>
    <t xml:space="preserve">Acta constitutiva · carpeta \Clientes\ACME\01_identificacion</t>
  </si>
  <si>
    <t xml:space="preserve">QUÉ PIDE CADA ANEXO — MATRIZ COMPARATIVA</t>
  </si>
  <si>
    <t xml:space="preserve">Cada anexo redacta y numera distinto los mismos conceptos. Aquí están normalizados: hacia abajo el requisito, a la derecha el anexo, y en la celda el numeral exacto donde vive. Una celda vacía significa que ese anexo no lo pide.</t>
  </si>
  <si>
    <t xml:space="preserve">ANEXO 3
Persona física mexicana o residente</t>
  </si>
  <si>
    <t xml:space="preserve">ANEXO 4
Persona moral mexicana</t>
  </si>
  <si>
    <t xml:space="preserve">ANEXO 4 Bis
Persona moral de derecho público</t>
  </si>
  <si>
    <t xml:space="preserve">ANEXO 5
Persona física extranjera (visitante)</t>
  </si>
  <si>
    <t xml:space="preserve">ANEXO 6
Persona moral extranjera</t>
  </si>
  <si>
    <t xml:space="preserve">ANEXO 6 Bis
Embajada, consulado, organismo int.</t>
  </si>
  <si>
    <t xml:space="preserve">ANEXO 7
Simplificado (Anexo 7-A)</t>
  </si>
  <si>
    <t xml:space="preserve">ANEXO 7 Bis
Simplificado de derecho público</t>
  </si>
  <si>
    <t xml:space="preserve">ANEXO 8
Fideicomiso</t>
  </si>
  <si>
    <t xml:space="preserve">Nombre, denominación o razón social</t>
  </si>
  <si>
    <t xml:space="preserve">a) i) del fiduciario</t>
  </si>
  <si>
    <t xml:space="preserve">Fecha de nacimiento, constitución o creación</t>
  </si>
  <si>
    <t xml:space="preserve">a) ii) o RFC</t>
  </si>
  <si>
    <t xml:space="preserve">a) iii) o RFC</t>
  </si>
  <si>
    <t xml:space="preserve">—</t>
  </si>
  <si>
    <t xml:space="preserve">País de nacimiento</t>
  </si>
  <si>
    <t xml:space="preserve">País de nacionalidad</t>
  </si>
  <si>
    <t xml:space="preserve">Actividad, ocupación u objeto social — sólo si hay Relación de negocios</t>
  </si>
  <si>
    <t xml:space="preserve">Domicilio</t>
  </si>
  <si>
    <t xml:space="preserve">Teléfono</t>
  </si>
  <si>
    <t xml:space="preserve">Correo electrónico</t>
  </si>
  <si>
    <t xml:space="preserve">CURP y RFC (o número de identificación fiscal extranjero)</t>
  </si>
  <si>
    <t xml:space="preserve">Datos de la identificación con la que se identificó</t>
  </si>
  <si>
    <t xml:space="preserve">Domicilio en México cuando reside en el extranjero</t>
  </si>
  <si>
    <t xml:space="preserve">a) párr. final</t>
  </si>
  <si>
    <t xml:space="preserve">Número, referencia o identificador del fideicomiso</t>
  </si>
  <si>
    <t xml:space="preserve">Datos del representante, apoderado, funcionario o delegado fiduciario</t>
  </si>
  <si>
    <t xml:space="preserve">Identificación oficial vigente</t>
  </si>
  <si>
    <t xml:space="preserve">b) i) pasaporte</t>
  </si>
  <si>
    <t xml:space="preserve">Documento migratorio del INM</t>
  </si>
  <si>
    <t xml:space="preserve">Constancia de CURP</t>
  </si>
  <si>
    <t xml:space="preserve">Comprobante de domicilio</t>
  </si>
  <si>
    <t xml:space="preserve">Constancia de domicilio en ciertas fracciones del art. 17</t>
  </si>
  <si>
    <t xml:space="preserve">b) iii) párr. 3</t>
  </si>
  <si>
    <t xml:space="preserve">Instrumento de constitución o documento de existencia legal</t>
  </si>
  <si>
    <t xml:space="preserve">Cédula de Identificación Fiscal</t>
  </si>
  <si>
    <t xml:space="preserve">Poderes del representante o apoderado, y su identificación</t>
  </si>
  <si>
    <t xml:space="preserve">b) v) carta poder</t>
  </si>
  <si>
    <t xml:space="preserve">b) iv) CONSTANCIA</t>
  </si>
  <si>
    <t xml:space="preserve">b) v) IDENTIFICAR</t>
  </si>
  <si>
    <t xml:space="preserve">DEROGADA</t>
  </si>
  <si>
    <t xml:space="preserve">b) iv) IDENTIFICAR</t>
  </si>
  <si>
    <t xml:space="preserve">Conceptos que pide este anexo</t>
  </si>
  <si>
    <t xml:space="preserve">CÓMO SE LEE</t>
  </si>
  <si>
    <t xml:space="preserve">El numeral (por ejemplo «a) iii)»)</t>
  </si>
  <si>
    <t xml:space="preserve">Ese anexo sí lo pide, y ése es su numeral exacto dentro del anexo.</t>
  </si>
  <si>
    <t xml:space="preserve">Una raya</t>
  </si>
  <si>
    <t xml:space="preserve">Ese anexo no pide ese concepto.</t>
  </si>
  <si>
    <t xml:space="preserve">IDENTIFICAR — verde</t>
  </si>
  <si>
    <t xml:space="preserve">Anexos 4, 6 y 8. Ya no basta la declaración del cliente: hay que identificar al Beneficiario Controlador.</t>
  </si>
  <si>
    <t xml:space="preserve">CONSTANCIA — ámbar</t>
  </si>
  <si>
    <t xml:space="preserve">Anexos 3 y 5. Se conserva la constancia declarativa firmada por el cliente, ahora también con Firma Electrónica.</t>
  </si>
  <si>
    <t xml:space="preserve">DEROGADA — rojo</t>
  </si>
  <si>
    <t xml:space="preserve">Anexo 6 Bis. Se eliminó la constancia para embajadas, consulados y organismos internacionales.</t>
  </si>
  <si>
    <t xml:space="preserve">Fuente: ACUERDO 115/2026, DOF 7 de agosto de 2026 · Anexos 3 a 8 de las Reglas de Carácter General. Los conceptos fueron normalizados por GMC360 porque cada anexo los redacta y numera distinto; el numeral de cada celda sí es literal. El único texto con valor legal es el publicado en el DOF.</t>
  </si>
  <si>
    <t xml:space="preserve">LOS OCHO CASOS QUE ROMPEN EL EXPEDIENTE</t>
  </si>
  <si>
    <t xml:space="preserve">El expediente fácil lo arma cualquiera. Estos son los ocho casos en que se tuerce — y los ocho ya tienen respuesta en el texto, sólo que vive en los artículos de en medio que casi nadie lee.</t>
  </si>
  <si>
    <t xml:space="preserve">#</t>
  </si>
  <si>
    <t xml:space="preserve">Si te pasa esto…</t>
  </si>
  <si>
    <t xml:space="preserve">Qué dice la norma que hagas</t>
  </si>
  <si>
    <t xml:space="preserve">¿Me pasa?</t>
  </si>
  <si>
    <t xml:space="preserve">Nota</t>
  </si>
  <si>
    <t xml:space="preserve">El cliente se niega a darte la información o los documentos</t>
  </si>
  <si>
    <t xml:space="preserve">PRIMERO: te abstienes de llevar a cabo el acto u operación, «sin responsabilidad alguna» (L 21). No es que puedas negarte: es que debes, y la Ley te cubre. Deja constancia escrita de la negativa y de la fecha.
Y ADEMÁS, si de esa negativa nace sospecha sobre el origen o destino de los recursos, hay aviso de 24 horas — aunque no haya contrato y aunque sólo cuentes con los datos de quien INTENTÓ la operación (L 18 fr. VI, que dice «incluso si el acto u operación no se celebró», y R 7 Bis).
OJO CON EL LÍMITE: negarse a dar papeles no es lo mismo que sospechar del origen del dinero. Confundirlos genera avisos basura. La pregunta correcta es por qué se negó, y si eso te hace sospechar.</t>
  </si>
  <si>
    <t xml:space="preserve">L 21 · L 18 fr. VI · R 7 Bis</t>
  </si>
  <si>
    <t xml:space="preserve">El documento de identificación trae tachaduras o enmendaduras</t>
  </si>
  <si>
    <t xml:space="preserve">Recabas otro medio de identificación. Si no lo hay, solicitas DOS referencias bancarias o comerciales y DOS referencias personales, y verificas esos datos con quienes las suscriben ANTES de establecer la relación o celebrar la operación.</t>
  </si>
  <si>
    <t xml:space="preserve">RCG 12</t>
  </si>
  <si>
    <t xml:space="preserve">Tienes indicios de que el cliente actúa por cuenta de otra persona y no lo declaró</t>
  </si>
  <si>
    <t xml:space="preserve">El artículo 22 fija qué hacer cuando cuentas con información basada en indicios o hechos de que tu cliente actúa por cuenta de otro sin haberlo manifestado.</t>
  </si>
  <si>
    <t xml:space="preserve">RCG 22</t>
  </si>
  <si>
    <t xml:space="preserve">Ese cliente ya fue identificado por otra empresa de tu grupo empresarial</t>
  </si>
  <si>
    <t xml:space="preserve">El expediente puede integrarlo y conservarlo cualquiera de las personas morales del grupo, y pueden intercambiarse los datos para una nueva operación — pero con tres condiciones, y una es que quien lo conserve observe los criterios de identificación de quien realiza la actividad. No es automático.</t>
  </si>
  <si>
    <t xml:space="preserve">RCG 14</t>
  </si>
  <si>
    <t xml:space="preserve">Realizas actos u operaciones a nombre de los trabajadores o del personal de tu cliente</t>
  </si>
  <si>
    <t xml:space="preserve">Debes convenir POR ESCRITO con el cliente solicitante su obligación de mantener ese expediente a tu disposición para consulta y de proporcionártelo cuando lo requieras.</t>
  </si>
  <si>
    <t xml:space="preserve">RCG 16</t>
  </si>
  <si>
    <t xml:space="preserve">Toda la operación es a distancia y nunca ves al cliente en persona</t>
  </si>
  <si>
    <t xml:space="preserve">Se admiten medios electrónicos, ópticos o de cualquier otra tecnología — pero el expediente de identificación se integra PREVIAMENTE. Si operas primero y armas después, incumpliste aunque tengas todo.</t>
  </si>
  <si>
    <t xml:space="preserve">RCG 18</t>
  </si>
  <si>
    <t xml:space="preserve">Tu cliente califica como de riesgo bajo, o como de riesgo medio</t>
  </si>
  <si>
    <t xml:space="preserve">Bajo riesgo: medidas simplificadas del RCG 17, con la obligación de solicitar los documentos en original o copia certificada por fedatario, y sólo si además tu entidad quedó en bajo riesgo conforme al Art. 15 del Reglamento: son dos condiciones acumulativas. Riesgo medio: régimen propio del 17 Bis. Y si el cliente se aparta de los criterios de bajo riesgo, integras el expediente completo.</t>
  </si>
  <si>
    <t xml:space="preserve">RCG 17 y 17 Bis</t>
  </si>
  <si>
    <t xml:space="preserve">Eres fedatario y en la fe pública no hay Relación de negocios</t>
  </si>
  <si>
    <t xml:space="preserve">Identificas a quien comparece al momento del acto, y tienes por cumplida la obligación del artículo 12 si la información y documentación requerida ya consta en el instrumento. El 13 Bis regula el caso de servicios de fe pública al Poder Judicial.</t>
  </si>
  <si>
    <t xml:space="preserve">RCG 13 y 13 Bis</t>
  </si>
  <si>
    <t xml:space="preserve">Y el caso que no está aquí</t>
  </si>
  <si>
    <t xml:space="preserve">Si tu situación no encaja en ninguno de los ocho, no la inventes ni la fuerces: anótala en la columna «Nota» y llévala al curso. Las que no tengan respuesta en el texto se suman al documento de dudas del sector que va a la Dirección de Actividades Vulnerables de la UIF.</t>
  </si>
  <si>
    <t xml:space="preserve">Fuente: ACUERDO 115/2026, DOF 7 de agosto de 2026, y LFPIORPI vigente. Cotejado artículo por artículo. El único texto con valor legal es el publicado en el DOF.</t>
  </si>
  <si>
    <t xml:space="preserve">CADENA DE EVIDENCIA DE UNA OPERACIÓN</t>
  </si>
  <si>
    <t xml:space="preserve">Un expediente completo no basta si la operación no se puede reconstruir de punta a punta. Estos nueve eslabones son los que permiten esa reconstrucción. Cada uno lleva el artículo que lo exige: donde no hay artículo, se dice.</t>
  </si>
  <si>
    <t xml:space="preserve">Eslabón</t>
  </si>
  <si>
    <t xml:space="preserve">Qué tiene que existir</t>
  </si>
  <si>
    <t xml:space="preserve">¿La tengo?</t>
  </si>
  <si>
    <t xml:space="preserve">Dónde está</t>
  </si>
  <si>
    <t xml:space="preserve">Expediente de identificación</t>
  </si>
  <si>
    <t xml:space="preserve">Integrado antes o durante el acto u operación, o antes de establecer la Relación de negocios.</t>
  </si>
  <si>
    <t xml:space="preserve">RCG 12 · L 18 fr. I</t>
  </si>
  <si>
    <t xml:space="preserve">Actividad u ocupación del cliente</t>
  </si>
  <si>
    <t xml:space="preserve">Solicitada cuando hay Relación de negocios, apoyándose en los avisos de inscripción y actualización ante el RFC.</t>
  </si>
  <si>
    <t xml:space="preserve">L 18 fr. II</t>
  </si>
  <si>
    <t xml:space="preserve">Documento del acto u operación</t>
  </si>
  <si>
    <t xml:space="preserve">Contrato, escritura, factura, orden o instrucción: el papel que prueba qué se pactó, cuándo y por cuánto.</t>
  </si>
  <si>
    <t xml:space="preserve">L 18 fr. IV — «registros que permitan la reconstrucción de operaciones en lo individual» y la correspondencia comercial</t>
  </si>
  <si>
    <t xml:space="preserve">CFDI</t>
  </si>
  <si>
    <t xml:space="preserve">El comprobante fiscal de la operación, consistente con lo que declaraste. El SAT presume cierta la información que contiene.</t>
  </si>
  <si>
    <t xml:space="preserve">R 10 Bis, párrafo final</t>
  </si>
  <si>
    <t xml:space="preserve">Comprobante de pago</t>
  </si>
  <si>
    <t xml:space="preserve">Cómo entró el dinero: transferencia, cheque, efectivo. Es lo que amarra el CFDI con la realidad.</t>
  </si>
  <si>
    <t xml:space="preserve">Buena práctica. No hay artículo que lo exija por separado: se sostiene en L 18 fr. IV</t>
  </si>
  <si>
    <t xml:space="preserve">Conciliación</t>
  </si>
  <si>
    <t xml:space="preserve">Que el monto del contrato, el del CFDI y el del pago sean el mismo. Cuando no lo son, hay que explicar por qué y dejarlo escrito.</t>
  </si>
  <si>
    <t xml:space="preserve">Buena práctica de GMC360. No es requisito normativo autónomo</t>
  </si>
  <si>
    <t xml:space="preserve">Cálculo de acumulación</t>
  </si>
  <si>
    <t xml:space="preserve">La suma por cliente en el periodo de hasta seis meses, para saber si se alcanzó el umbral de aviso.</t>
  </si>
  <si>
    <t xml:space="preserve">R 7</t>
  </si>
  <si>
    <t xml:space="preserve">Aviso y acuse</t>
  </si>
  <si>
    <t xml:space="preserve">Copia del aviso, su documentación soporte y el acuse electrónico. Se conservan diez años desde la presentación.</t>
  </si>
  <si>
    <t xml:space="preserve">R 20</t>
  </si>
  <si>
    <t xml:space="preserve">Resguardo</t>
  </si>
  <si>
    <t xml:space="preserve">Todo lo anterior, físico o electrónico, por al menos diez años contados desde la realización de la Actividad Vulnerable. Se conserva en el domicilio registrado ante la Secretaría, salvo la fracción XIV del artículo 17: esa fracción está exceptuada del domicilio, no del plazo.</t>
  </si>
  <si>
    <t xml:space="preserve">L 18 fr. IV, segundo párrafo</t>
  </si>
  <si>
    <t xml:space="preserve">Dos eslabones no son norma y están marcados como tales.</t>
  </si>
  <si>
    <t xml:space="preserve">El comprobante de pago y la conciliación son método de trabajo, no requisito autónomo. Se incluyen porque son lo que hace verificable el resto — y porque el artículo 21 de la Ley obliga a abstenerse de operar cuando el cliente se niega a dar la información necesaria, lo que en la práctica se decide con estos dos eslabones a la vista.</t>
  </si>
  <si>
    <t xml:space="preserve">MI BRECHA</t>
  </si>
  <si>
    <t xml:space="preserve">Se calcula solo desde la hoja «Instrumento». No escribas nada en esta hoja.</t>
  </si>
  <si>
    <t xml:space="preserve">TU EXPEDIENTE, EN NÚMEROS</t>
  </si>
  <si>
    <t xml:space="preserve">Requisitos que te aplican</t>
  </si>
  <si>
    <t xml:space="preserve">Depende del tipo de cliente que elegiste.</t>
  </si>
  <si>
    <t xml:space="preserve">Marcados «No aplica»</t>
  </si>
  <si>
    <t xml:space="preserve">Úsalo poco. Si todo es «no aplica», el resultado no te sirve.</t>
  </si>
  <si>
    <t xml:space="preserve">Base de medición</t>
  </si>
  <si>
    <t xml:space="preserve">Los que sí te tocan.</t>
  </si>
  <si>
    <t xml:space="preserve">Los tengo</t>
  </si>
  <si>
    <t xml:space="preserve">Los tengo a medias</t>
  </si>
  <si>
    <t xml:space="preserve">Cuentan como medio punto.</t>
  </si>
  <si>
    <t xml:space="preserve">No los tengo</t>
  </si>
  <si>
    <t xml:space="preserve">Ésta es tu brecha real.</t>
  </si>
  <si>
    <t xml:space="preserve">Sin contestar</t>
  </si>
  <si>
    <t xml:space="preserve">Si es alto, el resultado todavía no significa nada.</t>
  </si>
  <si>
    <t xml:space="preserve">GRADO DE INTEGRACIÓN</t>
  </si>
  <si>
    <t xml:space="preserve">Completos más la mitad de los parciales, entre la base de medición.</t>
  </si>
  <si>
    <t xml:space="preserve">POR CLASE DE REQUISITO</t>
  </si>
  <si>
    <t xml:space="preserve">Te aplican</t>
  </si>
  <si>
    <t xml:space="preserve">Los tienes</t>
  </si>
  <si>
    <t xml:space="preserve">% </t>
  </si>
  <si>
    <t xml:space="preserve">LO QUE SIGUE</t>
  </si>
  <si>
    <t xml:space="preserve">· Los renglones en «No» son tu lista de trabajo. Tienen fecha: 30 de noviembre de 2026.</t>
  </si>
  <si>
    <t xml:space="preserve">· Repite este ejercicio con tu cliente más complicado, no con el más fácil. El fácil no te enseña nada.</t>
  </si>
  <si>
    <t xml:space="preserve">· La verificación anual de los expedientes de clientes con Relación de negocios es obligatoria — artículo 21 RCG. Este archivo es el formato con el que se hace.</t>
  </si>
  <si>
    <t xml:space="preserve">· El grado de riesgo de este cliente se calcula en el Módulo 8, con la Matriz y su metodología.</t>
  </si>
</sst>
</file>

<file path=xl/styles.xml><?xml version="1.0" encoding="utf-8"?>
<styleSheet xmlns="http://schemas.openxmlformats.org/spreadsheetml/2006/main">
  <numFmts count="3">
    <numFmt numFmtId="164" formatCode="General"/>
    <numFmt numFmtId="165" formatCode="General"/>
    <numFmt numFmtId="166" formatCode="0%"/>
  </numFmts>
  <fonts count="3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9"/>
      <color rgb="FF8A5A12"/>
      <name val="Arial"/>
      <family val="0"/>
      <charset val="1"/>
    </font>
    <font>
      <sz val="9"/>
      <color rgb="FF5A6472"/>
      <name val="Arial"/>
      <family val="0"/>
      <charset val="1"/>
    </font>
    <font>
      <b val="true"/>
      <sz val="10"/>
      <color rgb="FF12224A"/>
      <name val="Arial"/>
      <family val="0"/>
      <charset val="1"/>
    </font>
    <font>
      <sz val="9.5"/>
      <color rgb="FF16202E"/>
      <name val="Arial"/>
      <family val="0"/>
      <charset val="1"/>
    </font>
    <font>
      <b val="true"/>
      <sz val="9.5"/>
      <color rgb="FF8A5A12"/>
      <name val="Arial"/>
      <family val="0"/>
      <charset val="1"/>
    </font>
    <font>
      <sz val="9.5"/>
      <color rgb="FF8A5A12"/>
      <name val="Arial"/>
      <family val="0"/>
      <charset val="1"/>
    </font>
    <font>
      <sz val="8"/>
      <color rgb="FF5A6472"/>
      <name val="Arial"/>
      <family val="0"/>
      <charset val="1"/>
    </font>
    <font>
      <b val="true"/>
      <sz val="13"/>
      <color rgb="FFFFFFFF"/>
      <name val="Arial"/>
      <family val="0"/>
      <charset val="1"/>
    </font>
    <font>
      <b val="true"/>
      <sz val="10"/>
      <color rgb="FF16202E"/>
      <name val="Arial"/>
      <family val="0"/>
      <charset val="1"/>
    </font>
    <font>
      <sz val="9"/>
      <color rgb="FF8A5A12"/>
      <name val="Arial"/>
      <family val="0"/>
      <charset val="1"/>
    </font>
    <font>
      <b val="true"/>
      <sz val="9"/>
      <color rgb="FF12224A"/>
      <name val="Arial"/>
      <family val="0"/>
      <charset val="1"/>
    </font>
    <font>
      <b val="true"/>
      <sz val="9"/>
      <color rgb="FFFFFFFF"/>
      <name val="Arial"/>
      <family val="0"/>
      <charset val="1"/>
    </font>
    <font>
      <sz val="8.5"/>
      <color rgb="FF5A6472"/>
      <name val="Arial"/>
      <family val="0"/>
      <charset val="1"/>
    </font>
    <font>
      <b val="true"/>
      <sz val="9"/>
      <color rgb="FF16202E"/>
      <name val="Arial"/>
      <family val="0"/>
      <charset val="1"/>
    </font>
    <font>
      <sz val="9"/>
      <color rgb="FF16202E"/>
      <name val="Arial"/>
      <family val="0"/>
      <charset val="1"/>
    </font>
    <font>
      <sz val="8.5"/>
      <color rgb="FF8A5A12"/>
      <name val="Arial"/>
      <family val="0"/>
      <charset val="1"/>
    </font>
    <font>
      <sz val="8.5"/>
      <color rgb="FFB3261E"/>
      <name val="Arial"/>
      <family val="0"/>
      <charset val="1"/>
    </font>
    <font>
      <b val="true"/>
      <sz val="8.5"/>
      <color rgb="FF5A6472"/>
      <name val="Arial"/>
      <family val="0"/>
      <charset val="1"/>
    </font>
    <font>
      <b val="true"/>
      <sz val="9.5"/>
      <color rgb="FFFFFFFF"/>
      <name val="Arial"/>
      <family val="0"/>
      <charset val="1"/>
    </font>
    <font>
      <b val="true"/>
      <sz val="8.5"/>
      <color rgb="FFFFFFFF"/>
      <name val="Arial"/>
      <family val="0"/>
      <charset val="1"/>
    </font>
    <font>
      <sz val="9"/>
      <color rgb="FF12224A"/>
      <name val="Arial"/>
      <family val="0"/>
      <charset val="1"/>
    </font>
    <font>
      <sz val="9"/>
      <color rgb="FFC5CBD6"/>
      <name val="Arial"/>
      <family val="0"/>
      <charset val="1"/>
    </font>
    <font>
      <b val="true"/>
      <sz val="8.5"/>
      <color rgb="FFC4622B"/>
      <name val="Arial"/>
      <family val="0"/>
      <charset val="1"/>
    </font>
    <font>
      <b val="true"/>
      <sz val="8.5"/>
      <color rgb="FF1B5E3F"/>
      <name val="Arial"/>
      <family val="0"/>
      <charset val="1"/>
    </font>
    <font>
      <b val="true"/>
      <sz val="8.5"/>
      <color rgb="FFB3261E"/>
      <name val="Arial"/>
      <family val="0"/>
      <charset val="1"/>
    </font>
    <font>
      <b val="true"/>
      <sz val="9.5"/>
      <color rgb="FF12224A"/>
      <name val="Arial"/>
      <family val="0"/>
      <charset val="1"/>
    </font>
    <font>
      <b val="true"/>
      <sz val="11"/>
      <color rgb="FF12224A"/>
      <name val="Arial"/>
      <family val="0"/>
      <charset val="1"/>
    </font>
    <font>
      <sz val="9.5"/>
      <color rgb="FF5A6472"/>
      <name val="Arial"/>
      <family val="0"/>
      <charset val="1"/>
    </font>
    <font>
      <b val="true"/>
      <sz val="14"/>
      <color rgb="FF12224A"/>
      <name val="Arial"/>
      <family val="0"/>
      <charset val="1"/>
    </font>
    <font>
      <b val="true"/>
      <sz val="20"/>
      <color rgb="FF12224A"/>
      <name val="Arial"/>
      <family val="0"/>
      <charset val="1"/>
    </font>
    <font>
      <b val="true"/>
      <sz val="11"/>
      <color rgb="FFFFFFFF"/>
      <name val="Arial"/>
      <family val="0"/>
      <charset val="1"/>
    </font>
  </fonts>
  <fills count="9">
    <fill>
      <patternFill patternType="none"/>
    </fill>
    <fill>
      <patternFill patternType="gray125"/>
    </fill>
    <fill>
      <patternFill patternType="solid">
        <fgColor rgb="FF12224A"/>
        <bgColor rgb="FF16202E"/>
      </patternFill>
    </fill>
    <fill>
      <patternFill patternType="solid">
        <fgColor rgb="FFFDF3E3"/>
        <bgColor rgb="FFFBEEEC"/>
      </patternFill>
    </fill>
    <fill>
      <patternFill patternType="solid">
        <fgColor rgb="FFFFFF00"/>
        <bgColor rgb="FFFFFF00"/>
      </patternFill>
    </fill>
    <fill>
      <patternFill patternType="solid">
        <fgColor rgb="FF1E2761"/>
        <bgColor rgb="FF12224A"/>
      </patternFill>
    </fill>
    <fill>
      <patternFill patternType="solid">
        <fgColor rgb="FFE4F2EB"/>
        <bgColor rgb="FFE2E7F0"/>
      </patternFill>
    </fill>
    <fill>
      <patternFill patternType="solid">
        <fgColor rgb="FFFBEEEC"/>
        <bgColor rgb="FFFDF3E3"/>
      </patternFill>
    </fill>
    <fill>
      <patternFill patternType="solid">
        <fgColor rgb="FFF4F6FA"/>
        <bgColor rgb="FFFBEEEC"/>
      </patternFill>
    </fill>
  </fills>
  <borders count="2">
    <border diagonalUp="false" diagonalDown="false">
      <left/>
      <right/>
      <top/>
      <bottom/>
      <diagonal/>
    </border>
    <border diagonalUp="false" diagonalDown="false">
      <left style="thin">
        <color rgb="FFE2E7F0"/>
      </left>
      <right style="thin">
        <color rgb="FFE2E7F0"/>
      </right>
      <top style="thin">
        <color rgb="FFE2E7F0"/>
      </top>
      <bottom style="thin">
        <color rgb="FFE2E7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center" textRotation="0" wrapText="false" indent="1"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3" borderId="0" xfId="0" applyFont="true" applyBorder="false" applyAlignment="true" applyProtection="true">
      <alignment horizontal="general" vertical="top" textRotation="0" wrapText="true" indent="0" shrinkToFit="false"/>
      <protection locked="true" hidden="false"/>
    </xf>
    <xf numFmtId="164" fontId="10" fillId="3"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12" fillId="2" borderId="0" xfId="0" applyFont="true" applyBorder="true" applyAlignment="true" applyProtection="true">
      <alignment horizontal="general" vertical="center" textRotation="0" wrapText="false" indent="1"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3" fillId="4" borderId="1" xfId="0" applyFont="true" applyBorder="true" applyAlignment="true" applyProtection="true">
      <alignment horizontal="general" vertical="bottom" textRotation="0" wrapText="false" indent="1"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0" fillId="4" borderId="1" xfId="0" applyFont="false" applyBorder="true" applyAlignment="true" applyProtection="true">
      <alignment horizontal="general" vertical="bottom" textRotation="0" wrapText="false" indent="0" shrinkToFit="false"/>
      <protection locked="true" hidden="false"/>
    </xf>
    <xf numFmtId="164" fontId="16" fillId="5" borderId="1" xfId="0" applyFont="true" applyBorder="true" applyAlignment="true" applyProtection="true">
      <alignment horizontal="general" vertical="center" textRotation="0" wrapText="true" indent="0" shrinkToFit="false"/>
      <protection locked="true" hidden="false"/>
    </xf>
    <xf numFmtId="164" fontId="17" fillId="0" borderId="1" xfId="0" applyFont="true" applyBorder="true" applyAlignment="true" applyProtection="true">
      <alignment horizontal="general" vertical="top" textRotation="0" wrapText="true" indent="0" shrinkToFit="false"/>
      <protection locked="true" hidden="false"/>
    </xf>
    <xf numFmtId="164" fontId="15" fillId="0" borderId="1" xfId="0" applyFont="true" applyBorder="true" applyAlignment="true" applyProtection="true">
      <alignment horizontal="center" vertical="top" textRotation="0" wrapText="false" indent="0" shrinkToFit="false"/>
      <protection locked="true" hidden="false"/>
    </xf>
    <xf numFmtId="164" fontId="18" fillId="0" borderId="1" xfId="0" applyFont="true" applyBorder="true" applyAlignment="true" applyProtection="true">
      <alignment horizontal="center" vertical="top" textRotation="0" wrapText="false" indent="0" shrinkToFit="false"/>
      <protection locked="true" hidden="false"/>
    </xf>
    <xf numFmtId="164" fontId="19" fillId="0" borderId="1" xfId="0" applyFont="true" applyBorder="true" applyAlignment="true" applyProtection="true">
      <alignment horizontal="center" vertical="top" textRotation="0" wrapText="false" indent="0" shrinkToFit="false"/>
      <protection locked="true" hidden="false"/>
    </xf>
    <xf numFmtId="164" fontId="19" fillId="0" borderId="1" xfId="0" applyFont="true" applyBorder="true" applyAlignment="true" applyProtection="true">
      <alignment horizontal="general" vertical="top" textRotation="0" wrapText="true" indent="0" shrinkToFit="false"/>
      <protection locked="true" hidden="false"/>
    </xf>
    <xf numFmtId="164" fontId="20" fillId="0" borderId="1" xfId="0" applyFont="true" applyBorder="true" applyAlignment="true" applyProtection="true">
      <alignment horizontal="general" vertical="top" textRotation="0" wrapText="true" indent="0" shrinkToFit="false"/>
      <protection locked="true" hidden="false"/>
    </xf>
    <xf numFmtId="164" fontId="0" fillId="4" borderId="1" xfId="0" applyFont="false" applyBorder="true" applyAlignment="true" applyProtection="true">
      <alignment horizontal="center" vertical="top" textRotation="0" wrapText="false" indent="0" shrinkToFit="false"/>
      <protection locked="true" hidden="false"/>
    </xf>
    <xf numFmtId="164" fontId="0" fillId="0" borderId="1" xfId="0" applyFont="false" applyBorder="true" applyAlignment="true" applyProtection="true">
      <alignment horizontal="general" vertical="top" textRotation="0" wrapText="true" indent="0" shrinkToFit="false"/>
      <protection locked="true" hidden="false"/>
    </xf>
    <xf numFmtId="164" fontId="21" fillId="0" borderId="1" xfId="0" applyFont="true" applyBorder="true" applyAlignment="true" applyProtection="true">
      <alignment horizontal="general" vertical="top" textRotation="0" wrapText="tru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4" fillId="3" borderId="0" xfId="0" applyFont="true" applyBorder="true" applyAlignment="true" applyProtection="true">
      <alignment horizontal="general" vertical="center" textRotation="0" wrapText="true" indent="0" shrinkToFit="false"/>
      <protection locked="true" hidden="false"/>
    </xf>
    <xf numFmtId="164" fontId="23" fillId="5" borderId="1" xfId="0" applyFont="true" applyBorder="true" applyAlignment="true" applyProtection="true">
      <alignment horizontal="general" vertical="center" textRotation="0" wrapText="true" indent="0" shrinkToFit="false"/>
      <protection locked="true" hidden="false"/>
    </xf>
    <xf numFmtId="164" fontId="24" fillId="5"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25" fillId="0" borderId="1" xfId="0" applyFont="true" applyBorder="true" applyAlignment="true" applyProtection="true">
      <alignment horizontal="center" vertical="center" textRotation="0" wrapText="true" indent="0" shrinkToFit="false"/>
      <protection locked="true" hidden="false"/>
    </xf>
    <xf numFmtId="164" fontId="26" fillId="0" borderId="1" xfId="0" applyFont="true" applyBorder="true" applyAlignment="true" applyProtection="true">
      <alignment horizontal="center" vertical="center" textRotation="0" wrapText="true" indent="0" shrinkToFit="false"/>
      <protection locked="true" hidden="false"/>
    </xf>
    <xf numFmtId="164" fontId="9" fillId="3" borderId="1" xfId="0" applyFont="true" applyBorder="tru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general" vertical="bottom" textRotation="0" wrapText="false" indent="0" shrinkToFit="false"/>
      <protection locked="true" hidden="false"/>
    </xf>
    <xf numFmtId="164" fontId="27" fillId="3" borderId="1" xfId="0" applyFont="true" applyBorder="true" applyAlignment="true" applyProtection="true">
      <alignment horizontal="center" vertical="center" textRotation="0" wrapText="true" indent="0" shrinkToFit="false"/>
      <protection locked="true" hidden="false"/>
    </xf>
    <xf numFmtId="164" fontId="28" fillId="6" borderId="1" xfId="0" applyFont="true" applyBorder="true" applyAlignment="true" applyProtection="true">
      <alignment horizontal="center" vertical="center" textRotation="0" wrapText="true" indent="0" shrinkToFit="false"/>
      <protection locked="true" hidden="false"/>
    </xf>
    <xf numFmtId="164" fontId="29" fillId="7" borderId="1" xfId="0" applyFont="true" applyBorder="true" applyAlignment="true" applyProtection="true">
      <alignment horizontal="center" vertical="center" textRotation="0" wrapText="true" indent="0" shrinkToFit="false"/>
      <protection locked="true" hidden="false"/>
    </xf>
    <xf numFmtId="164" fontId="30" fillId="8" borderId="1" xfId="0" applyFont="true" applyBorder="true" applyAlignment="true" applyProtection="true">
      <alignment horizontal="general" vertical="bottom" textRotation="0" wrapText="false" indent="0" shrinkToFit="false"/>
      <protection locked="true" hidden="false"/>
    </xf>
    <xf numFmtId="164" fontId="0" fillId="8" borderId="1" xfId="0" applyFont="false" applyBorder="true" applyAlignment="true" applyProtection="true">
      <alignment horizontal="general" vertical="bottom" textRotation="0" wrapText="false" indent="0" shrinkToFit="false"/>
      <protection locked="true" hidden="false"/>
    </xf>
    <xf numFmtId="165" fontId="31" fillId="8" borderId="1"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general" vertical="center" textRotation="0" wrapText="true" indent="0" shrinkToFit="false"/>
      <protection locked="true" hidden="false"/>
    </xf>
    <xf numFmtId="164" fontId="11" fillId="0" borderId="0"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center" vertical="top" textRotation="0" wrapText="false" indent="0" shrinkToFit="false"/>
      <protection locked="true" hidden="false"/>
    </xf>
    <xf numFmtId="164" fontId="13" fillId="0"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32" fillId="0" borderId="0"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8" fillId="0" borderId="1" xfId="0" applyFont="true" applyBorder="true" applyAlignment="true" applyProtection="true">
      <alignment horizontal="general" vertical="top" textRotation="0" wrapText="tru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31" fillId="0" borderId="1" xfId="0" applyFont="true" applyBorder="true" applyAlignment="true" applyProtection="true">
      <alignment horizontal="general" vertical="bottom" textRotation="0" wrapText="false" indent="0" shrinkToFit="false"/>
      <protection locked="true" hidden="false"/>
    </xf>
    <xf numFmtId="165" fontId="33" fillId="0" borderId="1" xfId="0" applyFont="true" applyBorder="true" applyAlignment="true" applyProtection="true">
      <alignment horizontal="center" vertical="bottom" textRotation="0" wrapText="false" indent="0" shrinkToFit="false"/>
      <protection locked="true" hidden="false"/>
    </xf>
    <xf numFmtId="164" fontId="17" fillId="0" borderId="1" xfId="0" applyFont="true" applyBorder="true" applyAlignment="true" applyProtection="true">
      <alignment horizontal="general" vertical="center" textRotation="0" wrapText="true" indent="0" shrinkToFit="false"/>
      <protection locked="true" hidden="false"/>
    </xf>
    <xf numFmtId="165" fontId="7" fillId="0" borderId="1" xfId="0" applyFont="true" applyBorder="true" applyAlignment="true" applyProtection="true">
      <alignment horizontal="center" vertical="bottom" textRotation="0" wrapText="false" indent="0" shrinkToFit="false"/>
      <protection locked="true" hidden="false"/>
    </xf>
    <xf numFmtId="166" fontId="34" fillId="0" borderId="1" xfId="0" applyFont="true" applyBorder="true" applyAlignment="true" applyProtection="true">
      <alignment horizontal="center" vertical="bottom" textRotation="0" wrapText="false" indent="0" shrinkToFit="false"/>
      <protection locked="true" hidden="false"/>
    </xf>
    <xf numFmtId="164" fontId="35" fillId="0" borderId="0" xfId="0" applyFont="true" applyBorder="true" applyAlignment="true" applyProtection="true">
      <alignment horizontal="general" vertical="center" textRotation="0" wrapText="false" indent="1" shrinkToFit="false"/>
      <protection locked="true" hidden="false"/>
    </xf>
    <xf numFmtId="164" fontId="16" fillId="5" borderId="1"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5" fontId="19" fillId="0" borderId="1" xfId="0" applyFont="true" applyBorder="true" applyAlignment="true" applyProtection="true">
      <alignment horizontal="center" vertical="bottom" textRotation="0" wrapText="false" indent="0" shrinkToFit="false"/>
      <protection locked="true" hidden="false"/>
    </xf>
    <xf numFmtId="166" fontId="15" fillId="0"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E2761"/>
          <bgColor rgb="FF000000"/>
        </patternFill>
      </fill>
    </dxf>
    <dxf>
      <fill>
        <patternFill patternType="solid">
          <fgColor rgb="FFF4F6FA"/>
          <bgColor rgb="FF000000"/>
        </patternFill>
      </fill>
    </dxf>
    <dxf>
      <fill>
        <patternFill patternType="solid">
          <bgColor rgb="FF000000"/>
        </patternFill>
      </fill>
    </dxf>
    <dxf>
      <fill>
        <patternFill patternType="solid">
          <fgColor rgb="FF5A6472"/>
          <bgColor rgb="FF000000"/>
        </patternFill>
      </fill>
    </dxf>
    <dxf>
      <fill>
        <patternFill patternType="solid">
          <fgColor rgb="FFAAB2BF"/>
          <bgColor rgb="FF000000"/>
        </patternFill>
      </fill>
    </dxf>
    <dxf>
      <fill>
        <patternFill patternType="solid">
          <fgColor rgb="FFFFFFFF"/>
          <bgColor rgb="FF000000"/>
        </patternFill>
      </fill>
    </dxf>
    <dxf>
      <fill>
        <patternFill patternType="solid">
          <fgColor rgb="FF12224A"/>
          <bgColor rgb="FF000000"/>
        </patternFill>
      </fill>
    </dxf>
    <dxf>
      <fill>
        <patternFill patternType="solid">
          <fgColor rgb="FF16202E"/>
          <bgColor rgb="FF000000"/>
        </patternFill>
      </fill>
    </dxf>
    <dxf>
      <fill>
        <patternFill patternType="solid">
          <fgColor rgb="FF8A5A12"/>
          <bgColor rgb="FF000000"/>
        </patternFill>
      </fill>
    </dxf>
    <dxf>
      <fill>
        <patternFill patternType="solid">
          <fgColor rgb="FFB3261E"/>
          <bgColor rgb="FF000000"/>
        </patternFill>
      </fill>
    </dxf>
    <dxf>
      <fill>
        <patternFill patternType="solid">
          <fgColor rgb="FFFFFF00"/>
          <bgColor rgb="FF000000"/>
        </patternFill>
      </fill>
    </dxf>
    <dxf>
      <fill>
        <patternFill patternType="solid">
          <fgColor rgb="FF000000"/>
          <bgColor rgb="FF000000"/>
        </patternFill>
      </fill>
    </dxf>
    <dxf>
      <font>
        <name val="Arial"/>
        <charset val="1"/>
        <family val="0"/>
        <color rgb="FFAAB2BF"/>
        <sz val="9"/>
      </font>
      <fill>
        <patternFill>
          <bgColor rgb="FFF4F6FA"/>
        </patternFill>
      </fill>
    </dxf>
    <dxf>
      <font>
        <name val="Arial"/>
        <charset val="1"/>
        <family val="0"/>
        <b val="1"/>
        <color rgb="FFB3261E"/>
        <sz val="9"/>
      </font>
      <fill>
        <patternFill>
          <bgColor rgb="FFFBEEEC"/>
        </patternFill>
      </fill>
    </dxf>
    <dxf>
      <font>
        <name val="Arial"/>
        <charset val="1"/>
        <family val="0"/>
        <b val="1"/>
        <color rgb="FF1B5E3F"/>
        <sz val="9"/>
      </font>
      <fill>
        <patternFill>
          <bgColor rgb="FFE4F2EB"/>
        </patternFill>
      </fill>
    </dxf>
    <dxf>
      <font>
        <name val="Arial"/>
        <charset val="1"/>
        <family val="0"/>
        <b val="1"/>
        <color rgb="FFC4622B"/>
        <sz val="9"/>
      </font>
      <fill>
        <patternFill>
          <bgColor rgb="FFFDF3E3"/>
        </patternFill>
      </fill>
    </dxf>
    <dxf>
      <fill>
        <patternFill>
          <bgColor rgb="FF1B5E3F"/>
        </patternFill>
      </fill>
    </dxf>
    <dxf>
      <fill>
        <patternFill>
          <bgColor rgb="FFC4622B"/>
        </patternFill>
      </fill>
    </dxf>
    <dxf>
      <fill>
        <patternFill>
          <bgColor rgb="FFB3261E"/>
        </patternFill>
      </fill>
    </dxf>
  </dxfs>
  <colors>
    <indexedColors>
      <rgbColor rgb="FF000000"/>
      <rgbColor rgb="FFFFFFFF"/>
      <rgbColor rgb="FFFF0000"/>
      <rgbColor rgb="FF00FF00"/>
      <rgbColor rgb="FF0000FF"/>
      <rgbColor rgb="FFFFFF00"/>
      <rgbColor rgb="FFFF00FF"/>
      <rgbColor rgb="FF00FFFF"/>
      <rgbColor rgb="FF800000"/>
      <rgbColor rgb="FF1B5E3F"/>
      <rgbColor rgb="FF000080"/>
      <rgbColor rgb="FF8A5A12"/>
      <rgbColor rgb="FF800080"/>
      <rgbColor rgb="FF008080"/>
      <rgbColor rgb="FFC5CBD6"/>
      <rgbColor rgb="FF808080"/>
      <rgbColor rgb="FF9999FF"/>
      <rgbColor rgb="FF993366"/>
      <rgbColor rgb="FFFDF3E3"/>
      <rgbColor rgb="FFE4F2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7F0"/>
      <rgbColor rgb="FFF4F6FA"/>
      <rgbColor rgb="FFFBEEEC"/>
      <rgbColor rgb="FF99CCFF"/>
      <rgbColor rgb="FFFF99CC"/>
      <rgbColor rgb="FFCC99FF"/>
      <rgbColor rgb="FFFFCC99"/>
      <rgbColor rgb="FF3366FF"/>
      <rgbColor rgb="FF33CCCC"/>
      <rgbColor rgb="FF99CC00"/>
      <rgbColor rgb="FFFFCC00"/>
      <rgbColor rgb="FFFF9900"/>
      <rgbColor rgb="FFC4622B"/>
      <rgbColor rgb="FF5A6472"/>
      <rgbColor rgb="FFAAB2BF"/>
      <rgbColor rgb="FF12224A"/>
      <rgbColor rgb="FF339966"/>
      <rgbColor rgb="FF16202E"/>
      <rgbColor rgb="FF333300"/>
      <rgbColor rgb="FFB3261E"/>
      <rgbColor rgb="FF993366"/>
      <rgbColor rgb="FF333399"/>
      <rgbColor rgb="FF1E276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04"/>
  </cols>
  <sheetData>
    <row r="2" customFormat="false" ht="21.75" hidden="false" customHeight="true" outlineLevel="0" collapsed="false">
      <c r="B2" s="2" t="s">
        <v>0</v>
      </c>
    </row>
    <row r="3" customFormat="false" ht="21.75" hidden="false" customHeight="true" outlineLevel="0" collapsed="false">
      <c r="B3" s="2"/>
    </row>
    <row r="4" customFormat="false" ht="13.5" hidden="false" customHeight="true" outlineLevel="0" collapsed="false">
      <c r="B4" s="2"/>
    </row>
    <row r="6" customFormat="false" ht="15" hidden="false" customHeight="true" outlineLevel="0" collapsed="false">
      <c r="B6" s="3" t="s">
        <v>1</v>
      </c>
    </row>
    <row r="7" customFormat="false" ht="15" hidden="false" customHeight="true" outlineLevel="0" collapsed="false">
      <c r="B7" s="4" t="s">
        <v>2</v>
      </c>
    </row>
    <row r="10" customFormat="false" ht="16.5" hidden="false" customHeight="true" outlineLevel="0" collapsed="false">
      <c r="B10" s="5" t="s">
        <v>3</v>
      </c>
    </row>
    <row r="11" customFormat="false" ht="42" hidden="false" customHeight="true" outlineLevel="0" collapsed="false">
      <c r="B11" s="6" t="s">
        <v>4</v>
      </c>
    </row>
    <row r="13" customFormat="false" ht="16.5" hidden="false" customHeight="true" outlineLevel="0" collapsed="false">
      <c r="B13" s="5" t="s">
        <v>5</v>
      </c>
    </row>
    <row r="14" customFormat="false" ht="15" hidden="false" customHeight="true" outlineLevel="0" collapsed="false">
      <c r="B14" s="6" t="s">
        <v>6</v>
      </c>
    </row>
    <row r="15" customFormat="false" ht="15" hidden="false" customHeight="true" outlineLevel="0" collapsed="false">
      <c r="B15" s="6" t="s">
        <v>7</v>
      </c>
    </row>
    <row r="16" customFormat="false" ht="15" hidden="false" customHeight="true" outlineLevel="0" collapsed="false">
      <c r="B16" s="6" t="s">
        <v>8</v>
      </c>
    </row>
    <row r="17" customFormat="false" ht="27.75" hidden="false" customHeight="true" outlineLevel="0" collapsed="false">
      <c r="B17" s="6" t="s">
        <v>9</v>
      </c>
    </row>
    <row r="18" customFormat="false" ht="15" hidden="false" customHeight="true" outlineLevel="0" collapsed="false">
      <c r="B18" s="6" t="s">
        <v>10</v>
      </c>
    </row>
    <row r="20" customFormat="false" ht="16.5" hidden="false" customHeight="true" outlineLevel="0" collapsed="false">
      <c r="B20" s="5" t="s">
        <v>11</v>
      </c>
    </row>
    <row r="21" customFormat="false" ht="15" hidden="false" customHeight="true" outlineLevel="0" collapsed="false">
      <c r="B21" s="6" t="s">
        <v>12</v>
      </c>
    </row>
    <row r="22" customFormat="false" ht="15" hidden="false" customHeight="true" outlineLevel="0" collapsed="false">
      <c r="B22" s="6" t="s">
        <v>13</v>
      </c>
    </row>
    <row r="23" customFormat="false" ht="27.75" hidden="false" customHeight="true" outlineLevel="0" collapsed="false">
      <c r="B23" s="6" t="s">
        <v>14</v>
      </c>
    </row>
    <row r="25" customFormat="false" ht="16.5" hidden="false" customHeight="true" outlineLevel="0" collapsed="false">
      <c r="B25" s="5" t="s">
        <v>15</v>
      </c>
    </row>
    <row r="26" customFormat="false" ht="42" hidden="false" customHeight="true" outlineLevel="0" collapsed="false">
      <c r="B26" s="6" t="s">
        <v>16</v>
      </c>
    </row>
    <row r="28" customFormat="false" ht="16.5" hidden="false" customHeight="true" outlineLevel="0" collapsed="false">
      <c r="B28" s="5" t="s">
        <v>17</v>
      </c>
    </row>
    <row r="29" customFormat="false" ht="42" hidden="false" customHeight="true" outlineLevel="0" collapsed="false">
      <c r="B29" s="6" t="s">
        <v>18</v>
      </c>
    </row>
    <row r="30" customFormat="false" ht="15.75" hidden="false" customHeight="true" outlineLevel="0" collapsed="false">
      <c r="B30" s="7" t="s">
        <v>19</v>
      </c>
    </row>
    <row r="31" customFormat="false" ht="72" hidden="false" customHeight="true" outlineLevel="0" collapsed="false">
      <c r="B31" s="8" t="s">
        <v>20</v>
      </c>
    </row>
    <row r="33" customFormat="false" ht="16.5" hidden="false" customHeight="true" outlineLevel="0" collapsed="false">
      <c r="B33" s="5" t="s">
        <v>21</v>
      </c>
    </row>
    <row r="34" customFormat="false" ht="27.75" hidden="false" customHeight="true" outlineLevel="0" collapsed="false">
      <c r="B34" s="6" t="s">
        <v>22</v>
      </c>
    </row>
    <row r="36" customFormat="false" ht="25.5" hidden="false" customHeight="true" outlineLevel="0" collapsed="false">
      <c r="B36" s="9" t="s">
        <v>23</v>
      </c>
    </row>
  </sheetData>
  <mergeCells count="1">
    <mergeCell ref="B2:B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
    <col collapsed="false" customWidth="true" hidden="false" outlineLevel="0" max="3" min="3" style="1" width="11"/>
    <col collapsed="false" customWidth="true" hidden="false" outlineLevel="0" max="4" min="4" style="1" width="13"/>
    <col collapsed="false" customWidth="true" hidden="false" outlineLevel="0" max="5" min="5" style="1" width="62"/>
    <col collapsed="false" customWidth="true" hidden="false" outlineLevel="0" max="6" min="6" style="1" width="22"/>
    <col collapsed="false" customWidth="true" hidden="false" outlineLevel="0" max="7" min="7" style="1" width="34"/>
    <col collapsed="false" customWidth="true" hidden="false" outlineLevel="0" max="8" min="8" style="1" width="13"/>
    <col collapsed="false" customWidth="true" hidden="false" outlineLevel="0" max="9" min="9" style="1" width="30"/>
  </cols>
  <sheetData>
    <row r="1" customFormat="false" ht="27.75" hidden="false" customHeight="true" outlineLevel="0" collapsed="false">
      <c r="A1" s="10" t="s">
        <v>24</v>
      </c>
      <c r="B1" s="10"/>
      <c r="C1" s="10"/>
      <c r="D1" s="10"/>
      <c r="E1" s="10"/>
      <c r="F1" s="10"/>
      <c r="G1" s="10"/>
      <c r="H1" s="10"/>
      <c r="I1" s="10"/>
    </row>
    <row r="3" customFormat="false" ht="15" hidden="false" customHeight="true" outlineLevel="0" collapsed="false">
      <c r="A3" s="11" t="s">
        <v>25</v>
      </c>
      <c r="B3" s="12" t="s">
        <v>26</v>
      </c>
      <c r="C3" s="12"/>
      <c r="D3" s="12"/>
      <c r="E3" s="13" t="s">
        <v>27</v>
      </c>
      <c r="G3" s="14" t="s">
        <v>28</v>
      </c>
      <c r="H3" s="15"/>
      <c r="I3" s="15"/>
    </row>
    <row r="5" customFormat="false" ht="30" hidden="false" customHeight="true" outlineLevel="0" collapsed="false">
      <c r="A5" s="16" t="s">
        <v>29</v>
      </c>
      <c r="B5" s="16" t="s">
        <v>30</v>
      </c>
      <c r="C5" s="16" t="s">
        <v>31</v>
      </c>
      <c r="D5" s="16" t="s">
        <v>32</v>
      </c>
      <c r="E5" s="16" t="s">
        <v>33</v>
      </c>
      <c r="F5" s="16" t="s">
        <v>34</v>
      </c>
      <c r="G5" s="16" t="s">
        <v>35</v>
      </c>
      <c r="H5" s="16" t="s">
        <v>36</v>
      </c>
      <c r="I5" s="16" t="s">
        <v>37</v>
      </c>
    </row>
    <row r="6" customFormat="false" ht="39.75" hidden="false" customHeight="true" outlineLevel="0" collapsed="false">
      <c r="A6" s="17" t="s">
        <v>38</v>
      </c>
      <c r="B6" s="18" t="str">
        <f aca="false">IF(OR($A6=$B$3,$A6="Beneficiario Controlador"),"Sí","—")</f>
        <v>—</v>
      </c>
      <c r="C6" s="19" t="s">
        <v>39</v>
      </c>
      <c r="D6" s="20" t="s">
        <v>40</v>
      </c>
      <c r="E6" s="21" t="s">
        <v>41</v>
      </c>
      <c r="F6" s="22" t="s">
        <v>42</v>
      </c>
      <c r="G6" s="17"/>
      <c r="H6" s="23"/>
      <c r="I6" s="24"/>
    </row>
    <row r="7" customFormat="false" ht="25.5" hidden="false" customHeight="true" outlineLevel="0" collapsed="false">
      <c r="A7" s="17" t="s">
        <v>38</v>
      </c>
      <c r="B7" s="18" t="str">
        <f aca="false">IF(OR($A7=$B$3,$A7="Beneficiario Controlador"),"Sí","—")</f>
        <v>—</v>
      </c>
      <c r="C7" s="19" t="s">
        <v>43</v>
      </c>
      <c r="D7" s="20" t="s">
        <v>40</v>
      </c>
      <c r="E7" s="21" t="s">
        <v>44</v>
      </c>
      <c r="F7" s="22" t="s">
        <v>45</v>
      </c>
      <c r="G7" s="17"/>
      <c r="H7" s="23"/>
      <c r="I7" s="24"/>
    </row>
    <row r="8" customFormat="false" ht="25.5" hidden="false" customHeight="true" outlineLevel="0" collapsed="false">
      <c r="A8" s="17" t="s">
        <v>38</v>
      </c>
      <c r="B8" s="18" t="str">
        <f aca="false">IF(OR($A8=$B$3,$A8="Beneficiario Controlador"),"Sí","—")</f>
        <v>—</v>
      </c>
      <c r="C8" s="19" t="s">
        <v>46</v>
      </c>
      <c r="D8" s="20" t="s">
        <v>40</v>
      </c>
      <c r="E8" s="21" t="s">
        <v>47</v>
      </c>
      <c r="F8" s="22" t="s">
        <v>48</v>
      </c>
      <c r="G8" s="17"/>
      <c r="H8" s="23"/>
      <c r="I8" s="24"/>
    </row>
    <row r="9" customFormat="false" ht="25.5" hidden="false" customHeight="true" outlineLevel="0" collapsed="false">
      <c r="A9" s="17" t="s">
        <v>38</v>
      </c>
      <c r="B9" s="18" t="str">
        <f aca="false">IF(OR($A9=$B$3,$A9="Beneficiario Controlador"),"Sí","—")</f>
        <v>—</v>
      </c>
      <c r="C9" s="19" t="s">
        <v>49</v>
      </c>
      <c r="D9" s="20" t="s">
        <v>40</v>
      </c>
      <c r="E9" s="21" t="s">
        <v>50</v>
      </c>
      <c r="F9" s="22" t="s">
        <v>51</v>
      </c>
      <c r="G9" s="17"/>
      <c r="H9" s="23"/>
      <c r="I9" s="24"/>
    </row>
    <row r="10" customFormat="false" ht="39.75" hidden="false" customHeight="true" outlineLevel="0" collapsed="false">
      <c r="A10" s="17" t="s">
        <v>38</v>
      </c>
      <c r="B10" s="18" t="str">
        <f aca="false">IF(OR($A10=$B$3,$A10="Beneficiario Controlador"),"Sí","—")</f>
        <v>—</v>
      </c>
      <c r="C10" s="19" t="s">
        <v>52</v>
      </c>
      <c r="D10" s="20" t="s">
        <v>40</v>
      </c>
      <c r="E10" s="21" t="s">
        <v>53</v>
      </c>
      <c r="F10" s="22" t="s">
        <v>54</v>
      </c>
      <c r="G10" s="17"/>
      <c r="H10" s="23"/>
      <c r="I10" s="24"/>
    </row>
    <row r="11" customFormat="false" ht="69.75" hidden="false" customHeight="true" outlineLevel="0" collapsed="false">
      <c r="A11" s="17" t="s">
        <v>38</v>
      </c>
      <c r="B11" s="18" t="str">
        <f aca="false">IF(OR($A11=$B$3,$A11="Beneficiario Controlador"),"Sí","—")</f>
        <v>—</v>
      </c>
      <c r="C11" s="19" t="s">
        <v>55</v>
      </c>
      <c r="D11" s="20" t="s">
        <v>40</v>
      </c>
      <c r="E11" s="21" t="s">
        <v>56</v>
      </c>
      <c r="F11" s="22" t="s">
        <v>57</v>
      </c>
      <c r="G11" s="17"/>
      <c r="H11" s="23"/>
      <c r="I11" s="24"/>
    </row>
    <row r="12" customFormat="false" ht="39.75" hidden="false" customHeight="true" outlineLevel="0" collapsed="false">
      <c r="A12" s="17" t="s">
        <v>38</v>
      </c>
      <c r="B12" s="18" t="str">
        <f aca="false">IF(OR($A12=$B$3,$A12="Beneficiario Controlador"),"Sí","—")</f>
        <v>—</v>
      </c>
      <c r="C12" s="19" t="s">
        <v>58</v>
      </c>
      <c r="D12" s="20" t="s">
        <v>40</v>
      </c>
      <c r="E12" s="21" t="s">
        <v>59</v>
      </c>
      <c r="F12" s="22" t="s">
        <v>60</v>
      </c>
      <c r="G12" s="17"/>
      <c r="H12" s="23"/>
      <c r="I12" s="24"/>
    </row>
    <row r="13" customFormat="false" ht="25.5" hidden="false" customHeight="true" outlineLevel="0" collapsed="false">
      <c r="A13" s="17" t="s">
        <v>38</v>
      </c>
      <c r="B13" s="18" t="str">
        <f aca="false">IF(OR($A13=$B$3,$A13="Beneficiario Controlador"),"Sí","—")</f>
        <v>—</v>
      </c>
      <c r="C13" s="19" t="s">
        <v>61</v>
      </c>
      <c r="D13" s="20" t="s">
        <v>40</v>
      </c>
      <c r="E13" s="21" t="s">
        <v>62</v>
      </c>
      <c r="F13" s="22" t="s">
        <v>63</v>
      </c>
      <c r="G13" s="17"/>
      <c r="H13" s="23"/>
      <c r="I13" s="24"/>
    </row>
    <row r="14" customFormat="false" ht="39.75" hidden="false" customHeight="true" outlineLevel="0" collapsed="false">
      <c r="A14" s="17" t="s">
        <v>38</v>
      </c>
      <c r="B14" s="18" t="str">
        <f aca="false">IF(OR($A14=$B$3,$A14="Beneficiario Controlador"),"Sí","—")</f>
        <v>—</v>
      </c>
      <c r="C14" s="19" t="s">
        <v>64</v>
      </c>
      <c r="D14" s="20" t="s">
        <v>40</v>
      </c>
      <c r="E14" s="21" t="s">
        <v>65</v>
      </c>
      <c r="F14" s="22" t="s">
        <v>66</v>
      </c>
      <c r="G14" s="17"/>
      <c r="H14" s="23"/>
      <c r="I14" s="24"/>
    </row>
    <row r="15" customFormat="false" ht="39.75" hidden="false" customHeight="true" outlineLevel="0" collapsed="false">
      <c r="A15" s="17" t="s">
        <v>38</v>
      </c>
      <c r="B15" s="18" t="str">
        <f aca="false">IF(OR($A15=$B$3,$A15="Beneficiario Controlador"),"Sí","—")</f>
        <v>—</v>
      </c>
      <c r="C15" s="19" t="s">
        <v>67</v>
      </c>
      <c r="D15" s="20" t="s">
        <v>40</v>
      </c>
      <c r="E15" s="21" t="s">
        <v>68</v>
      </c>
      <c r="F15" s="22" t="s">
        <v>69</v>
      </c>
      <c r="G15" s="17"/>
      <c r="H15" s="23"/>
      <c r="I15" s="24"/>
    </row>
    <row r="16" customFormat="false" ht="69.75" hidden="false" customHeight="true" outlineLevel="0" collapsed="false">
      <c r="A16" s="17" t="s">
        <v>38</v>
      </c>
      <c r="B16" s="18" t="str">
        <f aca="false">IF(OR($A16=$B$3,$A16="Beneficiario Controlador"),"Sí","—")</f>
        <v>—</v>
      </c>
      <c r="C16" s="19" t="s">
        <v>70</v>
      </c>
      <c r="D16" s="20" t="s">
        <v>40</v>
      </c>
      <c r="E16" s="21" t="s">
        <v>71</v>
      </c>
      <c r="F16" s="22" t="s">
        <v>72</v>
      </c>
      <c r="G16" s="17"/>
      <c r="H16" s="23"/>
      <c r="I16" s="24"/>
    </row>
    <row r="17" customFormat="false" ht="54" hidden="false" customHeight="true" outlineLevel="0" collapsed="false">
      <c r="A17" s="17" t="s">
        <v>38</v>
      </c>
      <c r="B17" s="18" t="str">
        <f aca="false">IF(OR($A17=$B$3,$A17="Beneficiario Controlador"),"Sí","—")</f>
        <v>—</v>
      </c>
      <c r="C17" s="19" t="s">
        <v>73</v>
      </c>
      <c r="D17" s="20" t="s">
        <v>74</v>
      </c>
      <c r="E17" s="21" t="s">
        <v>75</v>
      </c>
      <c r="F17" s="22" t="s">
        <v>76</v>
      </c>
      <c r="G17" s="17"/>
      <c r="H17" s="23"/>
      <c r="I17" s="24"/>
    </row>
    <row r="18" customFormat="false" ht="69.75" hidden="false" customHeight="true" outlineLevel="0" collapsed="false">
      <c r="A18" s="17" t="s">
        <v>38</v>
      </c>
      <c r="B18" s="18" t="str">
        <f aca="false">IF(OR($A18=$B$3,$A18="Beneficiario Controlador"),"Sí","—")</f>
        <v>—</v>
      </c>
      <c r="C18" s="19" t="s">
        <v>77</v>
      </c>
      <c r="D18" s="20" t="s">
        <v>74</v>
      </c>
      <c r="E18" s="21" t="s">
        <v>78</v>
      </c>
      <c r="F18" s="22" t="s">
        <v>79</v>
      </c>
      <c r="G18" s="25" t="s">
        <v>80</v>
      </c>
      <c r="H18" s="23"/>
      <c r="I18" s="24"/>
    </row>
    <row r="19" customFormat="false" ht="69.75" hidden="false" customHeight="true" outlineLevel="0" collapsed="false">
      <c r="A19" s="17" t="s">
        <v>38</v>
      </c>
      <c r="B19" s="18" t="str">
        <f aca="false">IF(OR($A19=$B$3,$A19="Beneficiario Controlador"),"Sí","—")</f>
        <v>—</v>
      </c>
      <c r="C19" s="19" t="s">
        <v>81</v>
      </c>
      <c r="D19" s="20" t="s">
        <v>74</v>
      </c>
      <c r="E19" s="21" t="s">
        <v>82</v>
      </c>
      <c r="F19" s="22" t="s">
        <v>83</v>
      </c>
      <c r="G19" s="25" t="s">
        <v>84</v>
      </c>
      <c r="H19" s="23"/>
      <c r="I19" s="24"/>
    </row>
    <row r="20" customFormat="false" ht="69.75" hidden="false" customHeight="true" outlineLevel="0" collapsed="false">
      <c r="A20" s="17" t="s">
        <v>38</v>
      </c>
      <c r="B20" s="18" t="str">
        <f aca="false">IF(OR($A20=$B$3,$A20="Beneficiario Controlador"),"Sí","—")</f>
        <v>—</v>
      </c>
      <c r="C20" s="19" t="s">
        <v>85</v>
      </c>
      <c r="D20" s="20" t="s">
        <v>74</v>
      </c>
      <c r="E20" s="21" t="s">
        <v>86</v>
      </c>
      <c r="F20" s="22" t="s">
        <v>87</v>
      </c>
      <c r="G20" s="17"/>
      <c r="H20" s="23"/>
      <c r="I20" s="24"/>
    </row>
    <row r="21" customFormat="false" ht="54" hidden="false" customHeight="true" outlineLevel="0" collapsed="false">
      <c r="A21" s="17" t="s">
        <v>38</v>
      </c>
      <c r="B21" s="18" t="str">
        <f aca="false">IF(OR($A21=$B$3,$A21="Beneficiario Controlador"),"Sí","—")</f>
        <v>—</v>
      </c>
      <c r="C21" s="19" t="s">
        <v>88</v>
      </c>
      <c r="D21" s="20" t="s">
        <v>89</v>
      </c>
      <c r="E21" s="21" t="s">
        <v>90</v>
      </c>
      <c r="F21" s="22" t="s">
        <v>91</v>
      </c>
      <c r="G21" s="25" t="s">
        <v>92</v>
      </c>
      <c r="H21" s="23"/>
      <c r="I21" s="24"/>
    </row>
    <row r="22" customFormat="false" ht="69.75" hidden="false" customHeight="true" outlineLevel="0" collapsed="false">
      <c r="A22" s="17" t="s">
        <v>38</v>
      </c>
      <c r="B22" s="18" t="str">
        <f aca="false">IF(OR($A22=$B$3,$A22="Beneficiario Controlador"),"Sí","—")</f>
        <v>—</v>
      </c>
      <c r="C22" s="19" t="s">
        <v>93</v>
      </c>
      <c r="D22" s="20" t="s">
        <v>89</v>
      </c>
      <c r="E22" s="21" t="s">
        <v>94</v>
      </c>
      <c r="F22" s="22" t="s">
        <v>95</v>
      </c>
      <c r="G22" s="25" t="s">
        <v>96</v>
      </c>
      <c r="H22" s="23"/>
      <c r="I22" s="24"/>
    </row>
    <row r="23" customFormat="false" ht="69.75" hidden="false" customHeight="true" outlineLevel="0" collapsed="false">
      <c r="A23" s="17" t="s">
        <v>38</v>
      </c>
      <c r="B23" s="18" t="str">
        <f aca="false">IF(OR($A23=$B$3,$A23="Beneficiario Controlador"),"Sí","—")</f>
        <v>—</v>
      </c>
      <c r="C23" s="19" t="s">
        <v>97</v>
      </c>
      <c r="D23" s="20" t="s">
        <v>74</v>
      </c>
      <c r="E23" s="21" t="s">
        <v>98</v>
      </c>
      <c r="F23" s="22" t="s">
        <v>99</v>
      </c>
      <c r="G23" s="17"/>
      <c r="H23" s="23"/>
      <c r="I23" s="24"/>
    </row>
    <row r="24" customFormat="false" ht="25.5" hidden="false" customHeight="true" outlineLevel="0" collapsed="false">
      <c r="A24" s="17" t="s">
        <v>26</v>
      </c>
      <c r="B24" s="18" t="str">
        <f aca="false">IF(OR($A24=$B$3,$A24="Beneficiario Controlador"),"Sí","—")</f>
        <v>Sí</v>
      </c>
      <c r="C24" s="19" t="s">
        <v>39</v>
      </c>
      <c r="D24" s="20" t="s">
        <v>40</v>
      </c>
      <c r="E24" s="21" t="s">
        <v>100</v>
      </c>
      <c r="F24" s="22" t="s">
        <v>101</v>
      </c>
      <c r="G24" s="17"/>
      <c r="H24" s="23"/>
      <c r="I24" s="24"/>
    </row>
    <row r="25" customFormat="false" ht="25.5" hidden="false" customHeight="true" outlineLevel="0" collapsed="false">
      <c r="A25" s="17" t="s">
        <v>26</v>
      </c>
      <c r="B25" s="18" t="str">
        <f aca="false">IF(OR($A25=$B$3,$A25="Beneficiario Controlador"),"Sí","—")</f>
        <v>Sí</v>
      </c>
      <c r="C25" s="19" t="s">
        <v>43</v>
      </c>
      <c r="D25" s="20" t="s">
        <v>40</v>
      </c>
      <c r="E25" s="21" t="s">
        <v>102</v>
      </c>
      <c r="F25" s="22" t="s">
        <v>103</v>
      </c>
      <c r="G25" s="17"/>
      <c r="H25" s="23"/>
      <c r="I25" s="24"/>
    </row>
    <row r="26" customFormat="false" ht="25.5" hidden="false" customHeight="true" outlineLevel="0" collapsed="false">
      <c r="A26" s="17" t="s">
        <v>26</v>
      </c>
      <c r="B26" s="18" t="str">
        <f aca="false">IF(OR($A26=$B$3,$A26="Beneficiario Controlador"),"Sí","—")</f>
        <v>Sí</v>
      </c>
      <c r="C26" s="19" t="s">
        <v>46</v>
      </c>
      <c r="D26" s="20" t="s">
        <v>40</v>
      </c>
      <c r="E26" s="21" t="s">
        <v>50</v>
      </c>
      <c r="F26" s="22" t="s">
        <v>104</v>
      </c>
      <c r="G26" s="17"/>
      <c r="H26" s="23"/>
      <c r="I26" s="24"/>
    </row>
    <row r="27" customFormat="false" ht="39.75" hidden="false" customHeight="true" outlineLevel="0" collapsed="false">
      <c r="A27" s="17" t="s">
        <v>26</v>
      </c>
      <c r="B27" s="18" t="str">
        <f aca="false">IF(OR($A27=$B$3,$A27="Beneficiario Controlador"),"Sí","—")</f>
        <v>Sí</v>
      </c>
      <c r="C27" s="19" t="s">
        <v>49</v>
      </c>
      <c r="D27" s="20" t="s">
        <v>40</v>
      </c>
      <c r="E27" s="21" t="s">
        <v>105</v>
      </c>
      <c r="F27" s="22" t="s">
        <v>106</v>
      </c>
      <c r="G27" s="17"/>
      <c r="H27" s="23"/>
      <c r="I27" s="24"/>
    </row>
    <row r="28" customFormat="false" ht="69.75" hidden="false" customHeight="true" outlineLevel="0" collapsed="false">
      <c r="A28" s="17" t="s">
        <v>26</v>
      </c>
      <c r="B28" s="18" t="str">
        <f aca="false">IF(OR($A28=$B$3,$A28="Beneficiario Controlador"),"Sí","—")</f>
        <v>Sí</v>
      </c>
      <c r="C28" s="19" t="s">
        <v>52</v>
      </c>
      <c r="D28" s="20" t="s">
        <v>40</v>
      </c>
      <c r="E28" s="21" t="s">
        <v>107</v>
      </c>
      <c r="F28" s="22" t="s">
        <v>108</v>
      </c>
      <c r="G28" s="17"/>
      <c r="H28" s="23"/>
      <c r="I28" s="24"/>
    </row>
    <row r="29" customFormat="false" ht="39.75" hidden="false" customHeight="true" outlineLevel="0" collapsed="false">
      <c r="A29" s="17" t="s">
        <v>26</v>
      </c>
      <c r="B29" s="18" t="str">
        <f aca="false">IF(OR($A29=$B$3,$A29="Beneficiario Controlador"),"Sí","—")</f>
        <v>Sí</v>
      </c>
      <c r="C29" s="19" t="s">
        <v>55</v>
      </c>
      <c r="D29" s="20" t="s">
        <v>40</v>
      </c>
      <c r="E29" s="21" t="s">
        <v>109</v>
      </c>
      <c r="F29" s="22" t="s">
        <v>110</v>
      </c>
      <c r="G29" s="17"/>
      <c r="H29" s="23"/>
      <c r="I29" s="24"/>
    </row>
    <row r="30" customFormat="false" ht="25.5" hidden="false" customHeight="true" outlineLevel="0" collapsed="false">
      <c r="A30" s="17" t="s">
        <v>26</v>
      </c>
      <c r="B30" s="18" t="str">
        <f aca="false">IF(OR($A30=$B$3,$A30="Beneficiario Controlador"),"Sí","—")</f>
        <v>Sí</v>
      </c>
      <c r="C30" s="19" t="s">
        <v>58</v>
      </c>
      <c r="D30" s="20" t="s">
        <v>40</v>
      </c>
      <c r="E30" s="21" t="s">
        <v>62</v>
      </c>
      <c r="F30" s="22" t="s">
        <v>111</v>
      </c>
      <c r="G30" s="17"/>
      <c r="H30" s="23"/>
      <c r="I30" s="24"/>
    </row>
    <row r="31" customFormat="false" ht="25.5" hidden="false" customHeight="true" outlineLevel="0" collapsed="false">
      <c r="A31" s="17" t="s">
        <v>26</v>
      </c>
      <c r="B31" s="18" t="str">
        <f aca="false">IF(OR($A31=$B$3,$A31="Beneficiario Controlador"),"Sí","—")</f>
        <v>Sí</v>
      </c>
      <c r="C31" s="19" t="s">
        <v>61</v>
      </c>
      <c r="D31" s="20" t="s">
        <v>40</v>
      </c>
      <c r="E31" s="21" t="s">
        <v>112</v>
      </c>
      <c r="F31" s="22" t="s">
        <v>113</v>
      </c>
      <c r="G31" s="17"/>
      <c r="H31" s="23"/>
      <c r="I31" s="24"/>
    </row>
    <row r="32" customFormat="false" ht="69.75" hidden="false" customHeight="true" outlineLevel="0" collapsed="false">
      <c r="A32" s="17" t="s">
        <v>26</v>
      </c>
      <c r="B32" s="18" t="str">
        <f aca="false">IF(OR($A32=$B$3,$A32="Beneficiario Controlador"),"Sí","—")</f>
        <v>Sí</v>
      </c>
      <c r="C32" s="19" t="s">
        <v>64</v>
      </c>
      <c r="D32" s="20" t="s">
        <v>40</v>
      </c>
      <c r="E32" s="21" t="s">
        <v>114</v>
      </c>
      <c r="F32" s="22" t="s">
        <v>115</v>
      </c>
      <c r="G32" s="17"/>
      <c r="H32" s="23"/>
      <c r="I32" s="24"/>
    </row>
    <row r="33" customFormat="false" ht="69.75" hidden="false" customHeight="true" outlineLevel="0" collapsed="false">
      <c r="A33" s="17" t="s">
        <v>26</v>
      </c>
      <c r="B33" s="18" t="str">
        <f aca="false">IF(OR($A33=$B$3,$A33="Beneficiario Controlador"),"Sí","—")</f>
        <v>Sí</v>
      </c>
      <c r="C33" s="19" t="s">
        <v>73</v>
      </c>
      <c r="D33" s="20" t="s">
        <v>74</v>
      </c>
      <c r="E33" s="21" t="s">
        <v>116</v>
      </c>
      <c r="F33" s="22" t="s">
        <v>117</v>
      </c>
      <c r="G33" s="17"/>
      <c r="H33" s="23"/>
      <c r="I33" s="24"/>
    </row>
    <row r="34" customFormat="false" ht="69.75" hidden="false" customHeight="true" outlineLevel="0" collapsed="false">
      <c r="A34" s="17" t="s">
        <v>26</v>
      </c>
      <c r="B34" s="18" t="str">
        <f aca="false">IF(OR($A34=$B$3,$A34="Beneficiario Controlador"),"Sí","—")</f>
        <v>Sí</v>
      </c>
      <c r="C34" s="19" t="s">
        <v>77</v>
      </c>
      <c r="D34" s="20" t="s">
        <v>74</v>
      </c>
      <c r="E34" s="21" t="s">
        <v>118</v>
      </c>
      <c r="F34" s="22" t="s">
        <v>119</v>
      </c>
      <c r="G34" s="17"/>
      <c r="H34" s="23"/>
      <c r="I34" s="24"/>
    </row>
    <row r="35" customFormat="false" ht="25.5" hidden="false" customHeight="true" outlineLevel="0" collapsed="false">
      <c r="A35" s="17" t="s">
        <v>26</v>
      </c>
      <c r="B35" s="18" t="str">
        <f aca="false">IF(OR($A35=$B$3,$A35="Beneficiario Controlador"),"Sí","—")</f>
        <v>Sí</v>
      </c>
      <c r="C35" s="19" t="s">
        <v>81</v>
      </c>
      <c r="D35" s="20" t="s">
        <v>74</v>
      </c>
      <c r="E35" s="21" t="s">
        <v>120</v>
      </c>
      <c r="F35" s="22" t="s">
        <v>121</v>
      </c>
      <c r="G35" s="17"/>
      <c r="H35" s="23"/>
      <c r="I35" s="24"/>
    </row>
    <row r="36" customFormat="false" ht="69.75" hidden="false" customHeight="true" outlineLevel="0" collapsed="false">
      <c r="A36" s="17" t="s">
        <v>26</v>
      </c>
      <c r="B36" s="18" t="str">
        <f aca="false">IF(OR($A36=$B$3,$A36="Beneficiario Controlador"),"Sí","—")</f>
        <v>Sí</v>
      </c>
      <c r="C36" s="19" t="s">
        <v>85</v>
      </c>
      <c r="D36" s="20" t="s">
        <v>74</v>
      </c>
      <c r="E36" s="21" t="s">
        <v>122</v>
      </c>
      <c r="F36" s="22" t="s">
        <v>123</v>
      </c>
      <c r="G36" s="17"/>
      <c r="H36" s="23"/>
      <c r="I36" s="24"/>
    </row>
    <row r="37" customFormat="false" ht="69.75" hidden="false" customHeight="true" outlineLevel="0" collapsed="false">
      <c r="A37" s="17" t="s">
        <v>26</v>
      </c>
      <c r="B37" s="18" t="str">
        <f aca="false">IF(OR($A37=$B$3,$A37="Beneficiario Controlador"),"Sí","—")</f>
        <v>Sí</v>
      </c>
      <c r="C37" s="19" t="s">
        <v>88</v>
      </c>
      <c r="D37" s="20" t="s">
        <v>74</v>
      </c>
      <c r="E37" s="21" t="s">
        <v>124</v>
      </c>
      <c r="F37" s="22" t="s">
        <v>125</v>
      </c>
      <c r="G37" s="25" t="s">
        <v>80</v>
      </c>
      <c r="H37" s="23"/>
      <c r="I37" s="24"/>
    </row>
    <row r="38" customFormat="false" ht="54" hidden="false" customHeight="true" outlineLevel="0" collapsed="false">
      <c r="A38" s="17" t="s">
        <v>26</v>
      </c>
      <c r="B38" s="18" t="str">
        <f aca="false">IF(OR($A38=$B$3,$A38="Beneficiario Controlador"),"Sí","—")</f>
        <v>Sí</v>
      </c>
      <c r="C38" s="19" t="s">
        <v>93</v>
      </c>
      <c r="D38" s="20" t="s">
        <v>74</v>
      </c>
      <c r="E38" s="21" t="s">
        <v>126</v>
      </c>
      <c r="F38" s="22" t="s">
        <v>127</v>
      </c>
      <c r="G38" s="17"/>
      <c r="H38" s="23"/>
      <c r="I38" s="24"/>
    </row>
    <row r="39" customFormat="false" ht="69.75" hidden="false" customHeight="true" outlineLevel="0" collapsed="false">
      <c r="A39" s="17" t="s">
        <v>26</v>
      </c>
      <c r="B39" s="18" t="str">
        <f aca="false">IF(OR($A39=$B$3,$A39="Beneficiario Controlador"),"Sí","—")</f>
        <v>Sí</v>
      </c>
      <c r="C39" s="19" t="s">
        <v>97</v>
      </c>
      <c r="D39" s="20" t="s">
        <v>89</v>
      </c>
      <c r="E39" s="21" t="s">
        <v>128</v>
      </c>
      <c r="F39" s="22" t="s">
        <v>129</v>
      </c>
      <c r="G39" s="25" t="s">
        <v>130</v>
      </c>
      <c r="H39" s="23"/>
      <c r="I39" s="24"/>
    </row>
    <row r="40" customFormat="false" ht="25.5" hidden="false" customHeight="true" outlineLevel="0" collapsed="false">
      <c r="A40" s="17" t="s">
        <v>131</v>
      </c>
      <c r="B40" s="18" t="str">
        <f aca="false">IF(OR($A40=$B$3,$A40="Beneficiario Controlador"),"Sí","—")</f>
        <v>—</v>
      </c>
      <c r="C40" s="19" t="s">
        <v>39</v>
      </c>
      <c r="D40" s="20" t="s">
        <v>40</v>
      </c>
      <c r="E40" s="21" t="s">
        <v>132</v>
      </c>
      <c r="F40" s="22" t="s">
        <v>133</v>
      </c>
      <c r="G40" s="17"/>
      <c r="H40" s="23"/>
      <c r="I40" s="24"/>
    </row>
    <row r="41" customFormat="false" ht="25.5" hidden="false" customHeight="true" outlineLevel="0" collapsed="false">
      <c r="A41" s="17" t="s">
        <v>131</v>
      </c>
      <c r="B41" s="18" t="str">
        <f aca="false">IF(OR($A41=$B$3,$A41="Beneficiario Controlador"),"Sí","—")</f>
        <v>—</v>
      </c>
      <c r="C41" s="19" t="s">
        <v>43</v>
      </c>
      <c r="D41" s="20" t="s">
        <v>40</v>
      </c>
      <c r="E41" s="21" t="s">
        <v>134</v>
      </c>
      <c r="F41" s="22" t="s">
        <v>135</v>
      </c>
      <c r="G41" s="17"/>
      <c r="H41" s="23"/>
      <c r="I41" s="24"/>
    </row>
    <row r="42" customFormat="false" ht="69.75" hidden="false" customHeight="true" outlineLevel="0" collapsed="false">
      <c r="A42" s="17" t="s">
        <v>131</v>
      </c>
      <c r="B42" s="18" t="str">
        <f aca="false">IF(OR($A42=$B$3,$A42="Beneficiario Controlador"),"Sí","—")</f>
        <v>—</v>
      </c>
      <c r="C42" s="19" t="s">
        <v>46</v>
      </c>
      <c r="D42" s="20" t="s">
        <v>40</v>
      </c>
      <c r="E42" s="21" t="s">
        <v>107</v>
      </c>
      <c r="F42" s="22" t="s">
        <v>136</v>
      </c>
      <c r="G42" s="17"/>
      <c r="H42" s="23"/>
      <c r="I42" s="24"/>
    </row>
    <row r="43" customFormat="false" ht="39.75" hidden="false" customHeight="true" outlineLevel="0" collapsed="false">
      <c r="A43" s="17" t="s">
        <v>131</v>
      </c>
      <c r="B43" s="18" t="str">
        <f aca="false">IF(OR($A43=$B$3,$A43="Beneficiario Controlador"),"Sí","—")</f>
        <v>—</v>
      </c>
      <c r="C43" s="19" t="s">
        <v>49</v>
      </c>
      <c r="D43" s="20" t="s">
        <v>40</v>
      </c>
      <c r="E43" s="21" t="s">
        <v>109</v>
      </c>
      <c r="F43" s="22" t="s">
        <v>137</v>
      </c>
      <c r="G43" s="17"/>
      <c r="H43" s="23"/>
      <c r="I43" s="24"/>
    </row>
    <row r="44" customFormat="false" ht="25.5" hidden="false" customHeight="true" outlineLevel="0" collapsed="false">
      <c r="A44" s="17" t="s">
        <v>131</v>
      </c>
      <c r="B44" s="18" t="str">
        <f aca="false">IF(OR($A44=$B$3,$A44="Beneficiario Controlador"),"Sí","—")</f>
        <v>—</v>
      </c>
      <c r="C44" s="19" t="s">
        <v>52</v>
      </c>
      <c r="D44" s="20" t="s">
        <v>40</v>
      </c>
      <c r="E44" s="21" t="s">
        <v>62</v>
      </c>
      <c r="F44" s="22" t="s">
        <v>138</v>
      </c>
      <c r="G44" s="17"/>
      <c r="H44" s="23"/>
      <c r="I44" s="24"/>
    </row>
    <row r="45" customFormat="false" ht="25.5" hidden="false" customHeight="true" outlineLevel="0" collapsed="false">
      <c r="A45" s="17" t="s">
        <v>131</v>
      </c>
      <c r="B45" s="18" t="str">
        <f aca="false">IF(OR($A45=$B$3,$A45="Beneficiario Controlador"),"Sí","—")</f>
        <v>—</v>
      </c>
      <c r="C45" s="19" t="s">
        <v>55</v>
      </c>
      <c r="D45" s="20" t="s">
        <v>40</v>
      </c>
      <c r="E45" s="21" t="s">
        <v>112</v>
      </c>
      <c r="F45" s="22" t="s">
        <v>139</v>
      </c>
      <c r="G45" s="17"/>
      <c r="H45" s="23"/>
      <c r="I45" s="24"/>
    </row>
    <row r="46" customFormat="false" ht="69.75" hidden="false" customHeight="true" outlineLevel="0" collapsed="false">
      <c r="A46" s="17" t="s">
        <v>131</v>
      </c>
      <c r="B46" s="18" t="str">
        <f aca="false">IF(OR($A46=$B$3,$A46="Beneficiario Controlador"),"Sí","—")</f>
        <v>—</v>
      </c>
      <c r="C46" s="19" t="s">
        <v>58</v>
      </c>
      <c r="D46" s="20" t="s">
        <v>40</v>
      </c>
      <c r="E46" s="21" t="s">
        <v>140</v>
      </c>
      <c r="F46" s="22" t="s">
        <v>141</v>
      </c>
      <c r="G46" s="17"/>
      <c r="H46" s="23"/>
      <c r="I46" s="24"/>
    </row>
    <row r="47" customFormat="false" ht="25.5" hidden="false" customHeight="true" outlineLevel="0" collapsed="false">
      <c r="A47" s="17" t="s">
        <v>131</v>
      </c>
      <c r="B47" s="18" t="str">
        <f aca="false">IF(OR($A47=$B$3,$A47="Beneficiario Controlador"),"Sí","—")</f>
        <v>—</v>
      </c>
      <c r="C47" s="19" t="s">
        <v>73</v>
      </c>
      <c r="D47" s="20" t="s">
        <v>74</v>
      </c>
      <c r="E47" s="21" t="s">
        <v>142</v>
      </c>
      <c r="F47" s="22" t="s">
        <v>143</v>
      </c>
      <c r="G47" s="17"/>
      <c r="H47" s="23"/>
      <c r="I47" s="24"/>
    </row>
    <row r="48" customFormat="false" ht="25.5" hidden="false" customHeight="true" outlineLevel="0" collapsed="false">
      <c r="A48" s="17" t="s">
        <v>131</v>
      </c>
      <c r="B48" s="18" t="str">
        <f aca="false">IF(OR($A48=$B$3,$A48="Beneficiario Controlador"),"Sí","—")</f>
        <v>—</v>
      </c>
      <c r="C48" s="19" t="s">
        <v>81</v>
      </c>
      <c r="D48" s="20" t="s">
        <v>74</v>
      </c>
      <c r="E48" s="21" t="s">
        <v>120</v>
      </c>
      <c r="F48" s="22" t="s">
        <v>144</v>
      </c>
      <c r="G48" s="17"/>
      <c r="H48" s="23"/>
      <c r="I48" s="24"/>
    </row>
    <row r="49" customFormat="false" ht="69.75" hidden="false" customHeight="true" outlineLevel="0" collapsed="false">
      <c r="A49" s="17" t="s">
        <v>131</v>
      </c>
      <c r="B49" s="18" t="str">
        <f aca="false">IF(OR($A49=$B$3,$A49="Beneficiario Controlador"),"Sí","—")</f>
        <v>—</v>
      </c>
      <c r="C49" s="19" t="s">
        <v>85</v>
      </c>
      <c r="D49" s="20" t="s">
        <v>74</v>
      </c>
      <c r="E49" s="21" t="s">
        <v>145</v>
      </c>
      <c r="F49" s="22" t="s">
        <v>146</v>
      </c>
      <c r="G49" s="17"/>
      <c r="H49" s="23"/>
      <c r="I49" s="24"/>
    </row>
    <row r="50" customFormat="false" ht="69.75" hidden="false" customHeight="true" outlineLevel="0" collapsed="false">
      <c r="A50" s="17" t="s">
        <v>131</v>
      </c>
      <c r="B50" s="18" t="str">
        <f aca="false">IF(OR($A50=$B$3,$A50="Beneficiario Controlador"),"Sí","—")</f>
        <v>—</v>
      </c>
      <c r="C50" s="19" t="s">
        <v>88</v>
      </c>
      <c r="D50" s="20" t="s">
        <v>74</v>
      </c>
      <c r="E50" s="21" t="s">
        <v>147</v>
      </c>
      <c r="F50" s="22" t="s">
        <v>148</v>
      </c>
      <c r="G50" s="25" t="s">
        <v>80</v>
      </c>
      <c r="H50" s="23"/>
      <c r="I50" s="24"/>
    </row>
    <row r="51" customFormat="false" ht="25.5" hidden="false" customHeight="true" outlineLevel="0" collapsed="false">
      <c r="A51" s="17" t="s">
        <v>149</v>
      </c>
      <c r="B51" s="18" t="str">
        <f aca="false">IF(OR($A51=$B$3,$A51="Beneficiario Controlador"),"Sí","—")</f>
        <v>—</v>
      </c>
      <c r="C51" s="19" t="s">
        <v>39</v>
      </c>
      <c r="D51" s="20" t="s">
        <v>40</v>
      </c>
      <c r="E51" s="21" t="s">
        <v>150</v>
      </c>
      <c r="F51" s="22" t="s">
        <v>151</v>
      </c>
      <c r="G51" s="17"/>
      <c r="H51" s="23"/>
      <c r="I51" s="24"/>
    </row>
    <row r="52" customFormat="false" ht="25.5" hidden="false" customHeight="true" outlineLevel="0" collapsed="false">
      <c r="A52" s="17" t="s">
        <v>149</v>
      </c>
      <c r="B52" s="18" t="str">
        <f aca="false">IF(OR($A52=$B$3,$A52="Beneficiario Controlador"),"Sí","—")</f>
        <v>—</v>
      </c>
      <c r="C52" s="19" t="s">
        <v>43</v>
      </c>
      <c r="D52" s="20" t="s">
        <v>40</v>
      </c>
      <c r="E52" s="21" t="s">
        <v>44</v>
      </c>
      <c r="F52" s="22" t="s">
        <v>152</v>
      </c>
      <c r="G52" s="17"/>
      <c r="H52" s="23"/>
      <c r="I52" s="24"/>
    </row>
    <row r="53" customFormat="false" ht="25.5" hidden="false" customHeight="true" outlineLevel="0" collapsed="false">
      <c r="A53" s="17" t="s">
        <v>149</v>
      </c>
      <c r="B53" s="18" t="str">
        <f aca="false">IF(OR($A53=$B$3,$A53="Beneficiario Controlador"),"Sí","—")</f>
        <v>—</v>
      </c>
      <c r="C53" s="19" t="s">
        <v>46</v>
      </c>
      <c r="D53" s="20" t="s">
        <v>40</v>
      </c>
      <c r="E53" s="21" t="s">
        <v>47</v>
      </c>
      <c r="F53" s="22" t="s">
        <v>153</v>
      </c>
      <c r="G53" s="17"/>
      <c r="H53" s="23"/>
      <c r="I53" s="24"/>
    </row>
    <row r="54" customFormat="false" ht="25.5" hidden="false" customHeight="true" outlineLevel="0" collapsed="false">
      <c r="A54" s="17" t="s">
        <v>149</v>
      </c>
      <c r="B54" s="18" t="str">
        <f aca="false">IF(OR($A54=$B$3,$A54="Beneficiario Controlador"),"Sí","—")</f>
        <v>—</v>
      </c>
      <c r="C54" s="19" t="s">
        <v>49</v>
      </c>
      <c r="D54" s="20" t="s">
        <v>40</v>
      </c>
      <c r="E54" s="21" t="s">
        <v>50</v>
      </c>
      <c r="F54" s="22" t="s">
        <v>154</v>
      </c>
      <c r="G54" s="17"/>
      <c r="H54" s="23"/>
      <c r="I54" s="24"/>
    </row>
    <row r="55" customFormat="false" ht="39.75" hidden="false" customHeight="true" outlineLevel="0" collapsed="false">
      <c r="A55" s="17" t="s">
        <v>149</v>
      </c>
      <c r="B55" s="18" t="str">
        <f aca="false">IF(OR($A55=$B$3,$A55="Beneficiario Controlador"),"Sí","—")</f>
        <v>—</v>
      </c>
      <c r="C55" s="19" t="s">
        <v>52</v>
      </c>
      <c r="D55" s="20" t="s">
        <v>40</v>
      </c>
      <c r="E55" s="21" t="s">
        <v>53</v>
      </c>
      <c r="F55" s="22" t="s">
        <v>155</v>
      </c>
      <c r="G55" s="17"/>
      <c r="H55" s="23"/>
      <c r="I55" s="24"/>
    </row>
    <row r="56" customFormat="false" ht="69.75" hidden="false" customHeight="true" outlineLevel="0" collapsed="false">
      <c r="A56" s="17" t="s">
        <v>149</v>
      </c>
      <c r="B56" s="18" t="str">
        <f aca="false">IF(OR($A56=$B$3,$A56="Beneficiario Controlador"),"Sí","—")</f>
        <v>—</v>
      </c>
      <c r="C56" s="19" t="s">
        <v>55</v>
      </c>
      <c r="D56" s="20" t="s">
        <v>40</v>
      </c>
      <c r="E56" s="21" t="s">
        <v>156</v>
      </c>
      <c r="F56" s="22" t="s">
        <v>157</v>
      </c>
      <c r="G56" s="17"/>
      <c r="H56" s="23"/>
      <c r="I56" s="24"/>
    </row>
    <row r="57" customFormat="false" ht="39.75" hidden="false" customHeight="true" outlineLevel="0" collapsed="false">
      <c r="A57" s="17" t="s">
        <v>149</v>
      </c>
      <c r="B57" s="18" t="str">
        <f aca="false">IF(OR($A57=$B$3,$A57="Beneficiario Controlador"),"Sí","—")</f>
        <v>—</v>
      </c>
      <c r="C57" s="19" t="s">
        <v>58</v>
      </c>
      <c r="D57" s="20" t="s">
        <v>40</v>
      </c>
      <c r="E57" s="21" t="s">
        <v>158</v>
      </c>
      <c r="F57" s="22" t="s">
        <v>159</v>
      </c>
      <c r="G57" s="17"/>
      <c r="H57" s="23"/>
      <c r="I57" s="24"/>
    </row>
    <row r="58" customFormat="false" ht="69.75" hidden="false" customHeight="true" outlineLevel="0" collapsed="false">
      <c r="A58" s="17" t="s">
        <v>149</v>
      </c>
      <c r="B58" s="18" t="str">
        <f aca="false">IF(OR($A58=$B$3,$A58="Beneficiario Controlador"),"Sí","—")</f>
        <v>—</v>
      </c>
      <c r="C58" s="19" t="s">
        <v>70</v>
      </c>
      <c r="D58" s="20" t="s">
        <v>40</v>
      </c>
      <c r="E58" s="21" t="s">
        <v>160</v>
      </c>
      <c r="F58" s="22" t="s">
        <v>161</v>
      </c>
      <c r="G58" s="17"/>
      <c r="H58" s="23"/>
      <c r="I58" s="24"/>
    </row>
    <row r="59" customFormat="false" ht="54" hidden="false" customHeight="true" outlineLevel="0" collapsed="false">
      <c r="A59" s="17" t="s">
        <v>149</v>
      </c>
      <c r="B59" s="18" t="str">
        <f aca="false">IF(OR($A59=$B$3,$A59="Beneficiario Controlador"),"Sí","—")</f>
        <v>—</v>
      </c>
      <c r="C59" s="19" t="s">
        <v>73</v>
      </c>
      <c r="D59" s="20" t="s">
        <v>74</v>
      </c>
      <c r="E59" s="21" t="s">
        <v>162</v>
      </c>
      <c r="F59" s="22" t="s">
        <v>163</v>
      </c>
      <c r="G59" s="17"/>
      <c r="H59" s="23"/>
      <c r="I59" s="24"/>
    </row>
    <row r="60" customFormat="false" ht="39.75" hidden="false" customHeight="true" outlineLevel="0" collapsed="false">
      <c r="A60" s="17" t="s">
        <v>149</v>
      </c>
      <c r="B60" s="18" t="str">
        <f aca="false">IF(OR($A60=$B$3,$A60="Beneficiario Controlador"),"Sí","—")</f>
        <v>—</v>
      </c>
      <c r="C60" s="19" t="s">
        <v>81</v>
      </c>
      <c r="D60" s="20" t="s">
        <v>74</v>
      </c>
      <c r="E60" s="21" t="s">
        <v>164</v>
      </c>
      <c r="F60" s="22" t="s">
        <v>165</v>
      </c>
      <c r="G60" s="17"/>
      <c r="H60" s="23"/>
      <c r="I60" s="24"/>
    </row>
    <row r="61" customFormat="false" ht="69.75" hidden="false" customHeight="true" outlineLevel="0" collapsed="false">
      <c r="A61" s="17" t="s">
        <v>149</v>
      </c>
      <c r="B61" s="18" t="str">
        <f aca="false">IF(OR($A61=$B$3,$A61="Beneficiario Controlador"),"Sí","—")</f>
        <v>—</v>
      </c>
      <c r="C61" s="19" t="s">
        <v>85</v>
      </c>
      <c r="D61" s="20" t="s">
        <v>74</v>
      </c>
      <c r="E61" s="21" t="s">
        <v>166</v>
      </c>
      <c r="F61" s="22" t="s">
        <v>167</v>
      </c>
      <c r="G61" s="17"/>
      <c r="H61" s="23"/>
      <c r="I61" s="24"/>
    </row>
    <row r="62" customFormat="false" ht="69.75" hidden="false" customHeight="true" outlineLevel="0" collapsed="false">
      <c r="A62" s="17" t="s">
        <v>149</v>
      </c>
      <c r="B62" s="18" t="str">
        <f aca="false">IF(OR($A62=$B$3,$A62="Beneficiario Controlador"),"Sí","—")</f>
        <v>—</v>
      </c>
      <c r="C62" s="19" t="s">
        <v>168</v>
      </c>
      <c r="D62" s="20" t="s">
        <v>89</v>
      </c>
      <c r="E62" s="21" t="s">
        <v>169</v>
      </c>
      <c r="F62" s="22" t="s">
        <v>170</v>
      </c>
      <c r="G62" s="25" t="s">
        <v>171</v>
      </c>
      <c r="H62" s="23"/>
      <c r="I62" s="24"/>
    </row>
    <row r="63" customFormat="false" ht="54" hidden="false" customHeight="true" outlineLevel="0" collapsed="false">
      <c r="A63" s="17" t="s">
        <v>149</v>
      </c>
      <c r="B63" s="18" t="str">
        <f aca="false">IF(OR($A63=$B$3,$A63="Beneficiario Controlador"),"Sí","—")</f>
        <v>—</v>
      </c>
      <c r="C63" s="19" t="s">
        <v>88</v>
      </c>
      <c r="D63" s="20" t="s">
        <v>89</v>
      </c>
      <c r="E63" s="21" t="s">
        <v>172</v>
      </c>
      <c r="F63" s="22" t="s">
        <v>173</v>
      </c>
      <c r="G63" s="25" t="s">
        <v>174</v>
      </c>
      <c r="H63" s="23"/>
      <c r="I63" s="24"/>
    </row>
    <row r="64" customFormat="false" ht="69.75" hidden="false" customHeight="true" outlineLevel="0" collapsed="false">
      <c r="A64" s="17" t="s">
        <v>149</v>
      </c>
      <c r="B64" s="18" t="str">
        <f aca="false">IF(OR($A64=$B$3,$A64="Beneficiario Controlador"),"Sí","—")</f>
        <v>—</v>
      </c>
      <c r="C64" s="19" t="s">
        <v>93</v>
      </c>
      <c r="D64" s="20" t="s">
        <v>89</v>
      </c>
      <c r="E64" s="21" t="s">
        <v>94</v>
      </c>
      <c r="F64" s="22" t="s">
        <v>175</v>
      </c>
      <c r="G64" s="25" t="s">
        <v>176</v>
      </c>
      <c r="H64" s="23"/>
      <c r="I64" s="24"/>
    </row>
    <row r="65" customFormat="false" ht="69.75" hidden="false" customHeight="true" outlineLevel="0" collapsed="false">
      <c r="A65" s="17" t="s">
        <v>149</v>
      </c>
      <c r="B65" s="18" t="str">
        <f aca="false">IF(OR($A65=$B$3,$A65="Beneficiario Controlador"),"Sí","—")</f>
        <v>—</v>
      </c>
      <c r="C65" s="19" t="s">
        <v>97</v>
      </c>
      <c r="D65" s="20" t="s">
        <v>74</v>
      </c>
      <c r="E65" s="21" t="s">
        <v>177</v>
      </c>
      <c r="F65" s="22" t="s">
        <v>178</v>
      </c>
      <c r="G65" s="25" t="s">
        <v>179</v>
      </c>
      <c r="H65" s="23"/>
      <c r="I65" s="24"/>
    </row>
    <row r="66" customFormat="false" ht="25.5" hidden="false" customHeight="true" outlineLevel="0" collapsed="false">
      <c r="A66" s="17" t="s">
        <v>180</v>
      </c>
      <c r="B66" s="18" t="str">
        <f aca="false">IF(OR($A66=$B$3,$A66="Beneficiario Controlador"),"Sí","—")</f>
        <v>—</v>
      </c>
      <c r="C66" s="19" t="s">
        <v>39</v>
      </c>
      <c r="D66" s="20" t="s">
        <v>40</v>
      </c>
      <c r="E66" s="21" t="s">
        <v>100</v>
      </c>
      <c r="F66" s="22" t="s">
        <v>181</v>
      </c>
      <c r="G66" s="17"/>
      <c r="H66" s="23"/>
      <c r="I66" s="24"/>
    </row>
    <row r="67" customFormat="false" ht="25.5" hidden="false" customHeight="true" outlineLevel="0" collapsed="false">
      <c r="A67" s="17" t="s">
        <v>180</v>
      </c>
      <c r="B67" s="18" t="str">
        <f aca="false">IF(OR($A67=$B$3,$A67="Beneficiario Controlador"),"Sí","—")</f>
        <v>—</v>
      </c>
      <c r="C67" s="19" t="s">
        <v>43</v>
      </c>
      <c r="D67" s="20" t="s">
        <v>40</v>
      </c>
      <c r="E67" s="21" t="s">
        <v>102</v>
      </c>
      <c r="F67" s="22" t="s">
        <v>182</v>
      </c>
      <c r="G67" s="17"/>
      <c r="H67" s="23"/>
      <c r="I67" s="24"/>
    </row>
    <row r="68" customFormat="false" ht="25.5" hidden="false" customHeight="true" outlineLevel="0" collapsed="false">
      <c r="A68" s="17" t="s">
        <v>180</v>
      </c>
      <c r="B68" s="18" t="str">
        <f aca="false">IF(OR($A68=$B$3,$A68="Beneficiario Controlador"),"Sí","—")</f>
        <v>—</v>
      </c>
      <c r="C68" s="19" t="s">
        <v>46</v>
      </c>
      <c r="D68" s="20" t="s">
        <v>40</v>
      </c>
      <c r="E68" s="21" t="s">
        <v>50</v>
      </c>
      <c r="F68" s="22" t="s">
        <v>183</v>
      </c>
      <c r="G68" s="17"/>
      <c r="H68" s="23"/>
      <c r="I68" s="24"/>
    </row>
    <row r="69" customFormat="false" ht="39.75" hidden="false" customHeight="true" outlineLevel="0" collapsed="false">
      <c r="A69" s="17" t="s">
        <v>180</v>
      </c>
      <c r="B69" s="18" t="str">
        <f aca="false">IF(OR($A69=$B$3,$A69="Beneficiario Controlador"),"Sí","—")</f>
        <v>—</v>
      </c>
      <c r="C69" s="19" t="s">
        <v>49</v>
      </c>
      <c r="D69" s="20" t="s">
        <v>40</v>
      </c>
      <c r="E69" s="21" t="s">
        <v>184</v>
      </c>
      <c r="F69" s="22" t="s">
        <v>185</v>
      </c>
      <c r="G69" s="17"/>
      <c r="H69" s="23"/>
      <c r="I69" s="24"/>
    </row>
    <row r="70" customFormat="false" ht="39.75" hidden="false" customHeight="true" outlineLevel="0" collapsed="false">
      <c r="A70" s="17" t="s">
        <v>180</v>
      </c>
      <c r="B70" s="18" t="str">
        <f aca="false">IF(OR($A70=$B$3,$A70="Beneficiario Controlador"),"Sí","—")</f>
        <v>—</v>
      </c>
      <c r="C70" s="19" t="s">
        <v>52</v>
      </c>
      <c r="D70" s="20" t="s">
        <v>40</v>
      </c>
      <c r="E70" s="21" t="s">
        <v>186</v>
      </c>
      <c r="F70" s="22" t="s">
        <v>187</v>
      </c>
      <c r="G70" s="17"/>
      <c r="H70" s="23"/>
      <c r="I70" s="24"/>
    </row>
    <row r="71" customFormat="false" ht="69.75" hidden="false" customHeight="true" outlineLevel="0" collapsed="false">
      <c r="A71" s="17" t="s">
        <v>180</v>
      </c>
      <c r="B71" s="18" t="str">
        <f aca="false">IF(OR($A71=$B$3,$A71="Beneficiario Controlador"),"Sí","—")</f>
        <v>—</v>
      </c>
      <c r="C71" s="19" t="s">
        <v>55</v>
      </c>
      <c r="D71" s="20" t="s">
        <v>40</v>
      </c>
      <c r="E71" s="21" t="s">
        <v>107</v>
      </c>
      <c r="F71" s="22" t="s">
        <v>188</v>
      </c>
      <c r="G71" s="17"/>
      <c r="H71" s="23"/>
      <c r="I71" s="24"/>
    </row>
    <row r="72" customFormat="false" ht="39.75" hidden="false" customHeight="true" outlineLevel="0" collapsed="false">
      <c r="A72" s="17" t="s">
        <v>180</v>
      </c>
      <c r="B72" s="18" t="str">
        <f aca="false">IF(OR($A72=$B$3,$A72="Beneficiario Controlador"),"Sí","—")</f>
        <v>—</v>
      </c>
      <c r="C72" s="19" t="s">
        <v>58</v>
      </c>
      <c r="D72" s="20" t="s">
        <v>40</v>
      </c>
      <c r="E72" s="21" t="s">
        <v>109</v>
      </c>
      <c r="F72" s="22" t="s">
        <v>189</v>
      </c>
      <c r="G72" s="17"/>
      <c r="H72" s="23"/>
      <c r="I72" s="24"/>
    </row>
    <row r="73" customFormat="false" ht="25.5" hidden="false" customHeight="true" outlineLevel="0" collapsed="false">
      <c r="A73" s="17" t="s">
        <v>180</v>
      </c>
      <c r="B73" s="18" t="str">
        <f aca="false">IF(OR($A73=$B$3,$A73="Beneficiario Controlador"),"Sí","—")</f>
        <v>—</v>
      </c>
      <c r="C73" s="19" t="s">
        <v>61</v>
      </c>
      <c r="D73" s="20" t="s">
        <v>40</v>
      </c>
      <c r="E73" s="21" t="s">
        <v>190</v>
      </c>
      <c r="F73" s="22" t="s">
        <v>191</v>
      </c>
      <c r="G73" s="17"/>
      <c r="H73" s="23"/>
      <c r="I73" s="24"/>
    </row>
    <row r="74" customFormat="false" ht="69.75" hidden="false" customHeight="true" outlineLevel="0" collapsed="false">
      <c r="A74" s="17" t="s">
        <v>180</v>
      </c>
      <c r="B74" s="18" t="str">
        <f aca="false">IF(OR($A74=$B$3,$A74="Beneficiario Controlador"),"Sí","—")</f>
        <v>—</v>
      </c>
      <c r="C74" s="19" t="s">
        <v>64</v>
      </c>
      <c r="D74" s="20" t="s">
        <v>40</v>
      </c>
      <c r="E74" s="21" t="s">
        <v>192</v>
      </c>
      <c r="F74" s="22" t="s">
        <v>193</v>
      </c>
      <c r="G74" s="17"/>
      <c r="H74" s="23"/>
      <c r="I74" s="24"/>
    </row>
    <row r="75" customFormat="false" ht="25.5" hidden="false" customHeight="true" outlineLevel="0" collapsed="false">
      <c r="A75" s="17" t="s">
        <v>180</v>
      </c>
      <c r="B75" s="18" t="str">
        <f aca="false">IF(OR($A75=$B$3,$A75="Beneficiario Controlador"),"Sí","—")</f>
        <v>—</v>
      </c>
      <c r="C75" s="19" t="s">
        <v>73</v>
      </c>
      <c r="D75" s="20" t="s">
        <v>74</v>
      </c>
      <c r="E75" s="21" t="s">
        <v>194</v>
      </c>
      <c r="F75" s="22" t="s">
        <v>195</v>
      </c>
      <c r="G75" s="17"/>
      <c r="H75" s="23"/>
      <c r="I75" s="24"/>
    </row>
    <row r="76" customFormat="false" ht="69.75" hidden="false" customHeight="true" outlineLevel="0" collapsed="false">
      <c r="A76" s="17" t="s">
        <v>180</v>
      </c>
      <c r="B76" s="18" t="str">
        <f aca="false">IF(OR($A76=$B$3,$A76="Beneficiario Controlador"),"Sí","—")</f>
        <v>—</v>
      </c>
      <c r="C76" s="19" t="s">
        <v>81</v>
      </c>
      <c r="D76" s="20" t="s">
        <v>74</v>
      </c>
      <c r="E76" s="21" t="s">
        <v>196</v>
      </c>
      <c r="F76" s="22" t="s">
        <v>197</v>
      </c>
      <c r="G76" s="17"/>
      <c r="H76" s="23"/>
      <c r="I76" s="24"/>
    </row>
    <row r="77" customFormat="false" ht="69.75" hidden="false" customHeight="true" outlineLevel="0" collapsed="false">
      <c r="A77" s="17" t="s">
        <v>180</v>
      </c>
      <c r="B77" s="18" t="str">
        <f aca="false">IF(OR($A77=$B$3,$A77="Beneficiario Controlador"),"Sí","—")</f>
        <v>—</v>
      </c>
      <c r="C77" s="19" t="s">
        <v>85</v>
      </c>
      <c r="D77" s="20" t="s">
        <v>74</v>
      </c>
      <c r="E77" s="21" t="s">
        <v>198</v>
      </c>
      <c r="F77" s="22" t="s">
        <v>199</v>
      </c>
      <c r="G77" s="17"/>
      <c r="H77" s="23"/>
      <c r="I77" s="24"/>
    </row>
    <row r="78" customFormat="false" ht="69.75" hidden="false" customHeight="true" outlineLevel="0" collapsed="false">
      <c r="A78" s="17" t="s">
        <v>180</v>
      </c>
      <c r="B78" s="18" t="str">
        <f aca="false">IF(OR($A78=$B$3,$A78="Beneficiario Controlador"),"Sí","—")</f>
        <v>—</v>
      </c>
      <c r="C78" s="19" t="s">
        <v>200</v>
      </c>
      <c r="D78" s="20" t="s">
        <v>74</v>
      </c>
      <c r="E78" s="21" t="s">
        <v>201</v>
      </c>
      <c r="F78" s="22" t="s">
        <v>202</v>
      </c>
      <c r="G78" s="25" t="s">
        <v>203</v>
      </c>
      <c r="H78" s="23"/>
      <c r="I78" s="24"/>
    </row>
    <row r="79" customFormat="false" ht="54" hidden="false" customHeight="true" outlineLevel="0" collapsed="false">
      <c r="A79" s="17" t="s">
        <v>180</v>
      </c>
      <c r="B79" s="18" t="str">
        <f aca="false">IF(OR($A79=$B$3,$A79="Beneficiario Controlador"),"Sí","—")</f>
        <v>—</v>
      </c>
      <c r="C79" s="19" t="s">
        <v>88</v>
      </c>
      <c r="D79" s="20" t="s">
        <v>74</v>
      </c>
      <c r="E79" s="21" t="s">
        <v>204</v>
      </c>
      <c r="F79" s="22" t="s">
        <v>205</v>
      </c>
      <c r="G79" s="17"/>
      <c r="H79" s="23"/>
      <c r="I79" s="24"/>
    </row>
    <row r="80" customFormat="false" ht="39.75" hidden="false" customHeight="true" outlineLevel="0" collapsed="false">
      <c r="A80" s="17" t="s">
        <v>180</v>
      </c>
      <c r="B80" s="18" t="str">
        <f aca="false">IF(OR($A80=$B$3,$A80="Beneficiario Controlador"),"Sí","—")</f>
        <v>—</v>
      </c>
      <c r="C80" s="19" t="s">
        <v>97</v>
      </c>
      <c r="D80" s="20" t="s">
        <v>89</v>
      </c>
      <c r="E80" s="21" t="s">
        <v>206</v>
      </c>
      <c r="F80" s="22" t="s">
        <v>207</v>
      </c>
      <c r="G80" s="25" t="s">
        <v>208</v>
      </c>
      <c r="H80" s="23"/>
      <c r="I80" s="24"/>
    </row>
    <row r="81" customFormat="false" ht="25.5" hidden="false" customHeight="true" outlineLevel="0" collapsed="false">
      <c r="A81" s="17" t="s">
        <v>209</v>
      </c>
      <c r="B81" s="18" t="str">
        <f aca="false">IF(OR($A81=$B$3,$A81="Beneficiario Controlador"),"Sí","—")</f>
        <v>—</v>
      </c>
      <c r="C81" s="19" t="s">
        <v>39</v>
      </c>
      <c r="D81" s="20" t="s">
        <v>40</v>
      </c>
      <c r="E81" s="21" t="s">
        <v>210</v>
      </c>
      <c r="F81" s="22" t="s">
        <v>211</v>
      </c>
      <c r="G81" s="17"/>
      <c r="H81" s="23"/>
      <c r="I81" s="24"/>
    </row>
    <row r="82" customFormat="false" ht="39.75" hidden="false" customHeight="true" outlineLevel="0" collapsed="false">
      <c r="A82" s="17" t="s">
        <v>209</v>
      </c>
      <c r="B82" s="18" t="str">
        <f aca="false">IF(OR($A82=$B$3,$A82="Beneficiario Controlador"),"Sí","—")</f>
        <v>—</v>
      </c>
      <c r="C82" s="19" t="s">
        <v>43</v>
      </c>
      <c r="D82" s="20" t="s">
        <v>40</v>
      </c>
      <c r="E82" s="21" t="s">
        <v>212</v>
      </c>
      <c r="F82" s="22" t="s">
        <v>213</v>
      </c>
      <c r="G82" s="17"/>
      <c r="H82" s="23"/>
      <c r="I82" s="24"/>
    </row>
    <row r="83" customFormat="false" ht="69.75" hidden="false" customHeight="true" outlineLevel="0" collapsed="false">
      <c r="A83" s="17" t="s">
        <v>209</v>
      </c>
      <c r="B83" s="18" t="str">
        <f aca="false">IF(OR($A83=$B$3,$A83="Beneficiario Controlador"),"Sí","—")</f>
        <v>—</v>
      </c>
      <c r="C83" s="19" t="s">
        <v>46</v>
      </c>
      <c r="D83" s="20" t="s">
        <v>40</v>
      </c>
      <c r="E83" s="21" t="s">
        <v>214</v>
      </c>
      <c r="F83" s="22" t="s">
        <v>215</v>
      </c>
      <c r="G83" s="17"/>
      <c r="H83" s="23"/>
      <c r="I83" s="24"/>
    </row>
    <row r="84" customFormat="false" ht="39.75" hidden="false" customHeight="true" outlineLevel="0" collapsed="false">
      <c r="A84" s="17" t="s">
        <v>209</v>
      </c>
      <c r="B84" s="18" t="str">
        <f aca="false">IF(OR($A84=$B$3,$A84="Beneficiario Controlador"),"Sí","—")</f>
        <v>—</v>
      </c>
      <c r="C84" s="19" t="s">
        <v>49</v>
      </c>
      <c r="D84" s="20" t="s">
        <v>40</v>
      </c>
      <c r="E84" s="21" t="s">
        <v>109</v>
      </c>
      <c r="F84" s="22" t="s">
        <v>216</v>
      </c>
      <c r="G84" s="17"/>
      <c r="H84" s="23"/>
      <c r="I84" s="24"/>
    </row>
    <row r="85" customFormat="false" ht="25.5" hidden="false" customHeight="true" outlineLevel="0" collapsed="false">
      <c r="A85" s="17" t="s">
        <v>209</v>
      </c>
      <c r="B85" s="18" t="str">
        <f aca="false">IF(OR($A85=$B$3,$A85="Beneficiario Controlador"),"Sí","—")</f>
        <v>—</v>
      </c>
      <c r="C85" s="19" t="s">
        <v>52</v>
      </c>
      <c r="D85" s="20" t="s">
        <v>40</v>
      </c>
      <c r="E85" s="21" t="s">
        <v>190</v>
      </c>
      <c r="F85" s="22" t="s">
        <v>217</v>
      </c>
      <c r="G85" s="17"/>
      <c r="H85" s="23"/>
      <c r="I85" s="24"/>
    </row>
    <row r="86" customFormat="false" ht="69.75" hidden="false" customHeight="true" outlineLevel="0" collapsed="false">
      <c r="A86" s="17" t="s">
        <v>209</v>
      </c>
      <c r="B86" s="18" t="str">
        <f aca="false">IF(OR($A86=$B$3,$A86="Beneficiario Controlador"),"Sí","—")</f>
        <v>—</v>
      </c>
      <c r="C86" s="19" t="s">
        <v>55</v>
      </c>
      <c r="D86" s="20" t="s">
        <v>40</v>
      </c>
      <c r="E86" s="21" t="s">
        <v>218</v>
      </c>
      <c r="F86" s="22" t="s">
        <v>219</v>
      </c>
      <c r="G86" s="17"/>
      <c r="H86" s="23"/>
      <c r="I86" s="24"/>
    </row>
    <row r="87" customFormat="false" ht="39.75" hidden="false" customHeight="true" outlineLevel="0" collapsed="false">
      <c r="A87" s="17" t="s">
        <v>209</v>
      </c>
      <c r="B87" s="18" t="str">
        <f aca="false">IF(OR($A87=$B$3,$A87="Beneficiario Controlador"),"Sí","—")</f>
        <v>—</v>
      </c>
      <c r="C87" s="19" t="s">
        <v>73</v>
      </c>
      <c r="D87" s="20" t="s">
        <v>74</v>
      </c>
      <c r="E87" s="21" t="s">
        <v>220</v>
      </c>
      <c r="F87" s="22" t="s">
        <v>221</v>
      </c>
      <c r="G87" s="17"/>
      <c r="H87" s="23"/>
      <c r="I87" s="24"/>
    </row>
    <row r="88" customFormat="false" ht="69.75" hidden="false" customHeight="true" outlineLevel="0" collapsed="false">
      <c r="A88" s="17" t="s">
        <v>209</v>
      </c>
      <c r="B88" s="18" t="str">
        <f aca="false">IF(OR($A88=$B$3,$A88="Beneficiario Controlador"),"Sí","—")</f>
        <v>—</v>
      </c>
      <c r="C88" s="19" t="s">
        <v>81</v>
      </c>
      <c r="D88" s="20" t="s">
        <v>74</v>
      </c>
      <c r="E88" s="21" t="s">
        <v>222</v>
      </c>
      <c r="F88" s="22" t="s">
        <v>223</v>
      </c>
      <c r="G88" s="17"/>
      <c r="H88" s="23"/>
      <c r="I88" s="24"/>
    </row>
    <row r="89" customFormat="false" ht="69.75" hidden="false" customHeight="true" outlineLevel="0" collapsed="false">
      <c r="A89" s="17" t="s">
        <v>209</v>
      </c>
      <c r="B89" s="18" t="str">
        <f aca="false">IF(OR($A89=$B$3,$A89="Beneficiario Controlador"),"Sí","—")</f>
        <v>—</v>
      </c>
      <c r="C89" s="19" t="s">
        <v>85</v>
      </c>
      <c r="D89" s="20" t="s">
        <v>74</v>
      </c>
      <c r="E89" s="21" t="s">
        <v>224</v>
      </c>
      <c r="F89" s="22" t="s">
        <v>225</v>
      </c>
      <c r="G89" s="17"/>
      <c r="H89" s="23"/>
      <c r="I89" s="24"/>
    </row>
    <row r="90" customFormat="false" ht="69.75" hidden="false" customHeight="true" outlineLevel="0" collapsed="false">
      <c r="A90" s="17" t="s">
        <v>209</v>
      </c>
      <c r="B90" s="18" t="str">
        <f aca="false">IF(OR($A90=$B$3,$A90="Beneficiario Controlador"),"Sí","—")</f>
        <v>—</v>
      </c>
      <c r="C90" s="19" t="s">
        <v>200</v>
      </c>
      <c r="D90" s="20" t="s">
        <v>74</v>
      </c>
      <c r="E90" s="21" t="s">
        <v>226</v>
      </c>
      <c r="F90" s="22" t="s">
        <v>227</v>
      </c>
      <c r="G90" s="25" t="s">
        <v>203</v>
      </c>
      <c r="H90" s="23"/>
      <c r="I90" s="24"/>
    </row>
    <row r="91" customFormat="false" ht="69.75" hidden="false" customHeight="true" outlineLevel="0" collapsed="false">
      <c r="A91" s="17" t="s">
        <v>209</v>
      </c>
      <c r="B91" s="18" t="str">
        <f aca="false">IF(OR($A91=$B$3,$A91="Beneficiario Controlador"),"Sí","—")</f>
        <v>—</v>
      </c>
      <c r="C91" s="19" t="s">
        <v>168</v>
      </c>
      <c r="D91" s="20" t="s">
        <v>74</v>
      </c>
      <c r="E91" s="21" t="s">
        <v>228</v>
      </c>
      <c r="F91" s="22" t="s">
        <v>229</v>
      </c>
      <c r="G91" s="17"/>
      <c r="H91" s="23"/>
      <c r="I91" s="24"/>
    </row>
    <row r="92" customFormat="false" ht="54" hidden="false" customHeight="true" outlineLevel="0" collapsed="false">
      <c r="A92" s="17" t="s">
        <v>209</v>
      </c>
      <c r="B92" s="18" t="str">
        <f aca="false">IF(OR($A92=$B$3,$A92="Beneficiario Controlador"),"Sí","—")</f>
        <v>—</v>
      </c>
      <c r="C92" s="19" t="s">
        <v>88</v>
      </c>
      <c r="D92" s="20" t="s">
        <v>74</v>
      </c>
      <c r="E92" s="21" t="s">
        <v>204</v>
      </c>
      <c r="F92" s="22" t="s">
        <v>230</v>
      </c>
      <c r="G92" s="17"/>
      <c r="H92" s="23"/>
      <c r="I92" s="24"/>
    </row>
    <row r="93" customFormat="false" ht="25.5" hidden="false" customHeight="true" outlineLevel="0" collapsed="false">
      <c r="A93" s="17" t="s">
        <v>231</v>
      </c>
      <c r="B93" s="18" t="str">
        <f aca="false">IF(OR($A93=$B$3,$A93="Beneficiario Controlador"),"Sí","—")</f>
        <v>—</v>
      </c>
      <c r="C93" s="19" t="s">
        <v>39</v>
      </c>
      <c r="D93" s="20" t="s">
        <v>40</v>
      </c>
      <c r="E93" s="21" t="s">
        <v>100</v>
      </c>
      <c r="F93" s="22" t="s">
        <v>232</v>
      </c>
      <c r="G93" s="17"/>
      <c r="H93" s="23"/>
      <c r="I93" s="24"/>
    </row>
    <row r="94" customFormat="false" ht="25.5" hidden="false" customHeight="true" outlineLevel="0" collapsed="false">
      <c r="A94" s="17" t="s">
        <v>231</v>
      </c>
      <c r="B94" s="18" t="str">
        <f aca="false">IF(OR($A94=$B$3,$A94="Beneficiario Controlador"),"Sí","—")</f>
        <v>—</v>
      </c>
      <c r="C94" s="19" t="s">
        <v>43</v>
      </c>
      <c r="D94" s="20" t="s">
        <v>40</v>
      </c>
      <c r="E94" s="21" t="s">
        <v>233</v>
      </c>
      <c r="F94" s="22" t="s">
        <v>234</v>
      </c>
      <c r="G94" s="17"/>
      <c r="H94" s="23"/>
      <c r="I94" s="24"/>
    </row>
    <row r="95" customFormat="false" ht="25.5" hidden="false" customHeight="true" outlineLevel="0" collapsed="false">
      <c r="A95" s="17" t="s">
        <v>231</v>
      </c>
      <c r="B95" s="18" t="str">
        <f aca="false">IF(OR($A95=$B$3,$A95="Beneficiario Controlador"),"Sí","—")</f>
        <v>—</v>
      </c>
      <c r="C95" s="19" t="s">
        <v>46</v>
      </c>
      <c r="D95" s="20" t="s">
        <v>40</v>
      </c>
      <c r="E95" s="21" t="s">
        <v>235</v>
      </c>
      <c r="F95" s="22" t="s">
        <v>236</v>
      </c>
      <c r="G95" s="17"/>
      <c r="H95" s="23"/>
      <c r="I95" s="24"/>
    </row>
    <row r="96" customFormat="false" ht="69.75" hidden="false" customHeight="true" outlineLevel="0" collapsed="false">
      <c r="A96" s="17" t="s">
        <v>231</v>
      </c>
      <c r="B96" s="18" t="str">
        <f aca="false">IF(OR($A96=$B$3,$A96="Beneficiario Controlador"),"Sí","—")</f>
        <v>—</v>
      </c>
      <c r="C96" s="19" t="s">
        <v>49</v>
      </c>
      <c r="D96" s="20" t="s">
        <v>40</v>
      </c>
      <c r="E96" s="21" t="s">
        <v>237</v>
      </c>
      <c r="F96" s="22" t="s">
        <v>238</v>
      </c>
      <c r="G96" s="17"/>
      <c r="H96" s="23"/>
      <c r="I96" s="24"/>
    </row>
    <row r="97" customFormat="false" ht="39.75" hidden="false" customHeight="true" outlineLevel="0" collapsed="false">
      <c r="A97" s="17" t="s">
        <v>231</v>
      </c>
      <c r="B97" s="18" t="str">
        <f aca="false">IF(OR($A97=$B$3,$A97="Beneficiario Controlador"),"Sí","—")</f>
        <v>—</v>
      </c>
      <c r="C97" s="19" t="s">
        <v>52</v>
      </c>
      <c r="D97" s="20" t="s">
        <v>40</v>
      </c>
      <c r="E97" s="21" t="s">
        <v>109</v>
      </c>
      <c r="F97" s="22" t="s">
        <v>239</v>
      </c>
      <c r="G97" s="17"/>
      <c r="H97" s="23"/>
      <c r="I97" s="24"/>
    </row>
    <row r="98" customFormat="false" ht="25.5" hidden="false" customHeight="true" outlineLevel="0" collapsed="false">
      <c r="A98" s="17" t="s">
        <v>231</v>
      </c>
      <c r="B98" s="18" t="str">
        <f aca="false">IF(OR($A98=$B$3,$A98="Beneficiario Controlador"),"Sí","—")</f>
        <v>—</v>
      </c>
      <c r="C98" s="19" t="s">
        <v>55</v>
      </c>
      <c r="D98" s="20" t="s">
        <v>40</v>
      </c>
      <c r="E98" s="21" t="s">
        <v>190</v>
      </c>
      <c r="F98" s="22" t="s">
        <v>240</v>
      </c>
      <c r="G98" s="17"/>
      <c r="H98" s="23"/>
      <c r="I98" s="24"/>
    </row>
    <row r="99" customFormat="false" ht="69.75" hidden="false" customHeight="true" outlineLevel="0" collapsed="false">
      <c r="A99" s="17" t="s">
        <v>231</v>
      </c>
      <c r="B99" s="18" t="str">
        <f aca="false">IF(OR($A99=$B$3,$A99="Beneficiario Controlador"),"Sí","—")</f>
        <v>—</v>
      </c>
      <c r="C99" s="19" t="s">
        <v>58</v>
      </c>
      <c r="D99" s="20" t="s">
        <v>40</v>
      </c>
      <c r="E99" s="21" t="s">
        <v>241</v>
      </c>
      <c r="F99" s="22" t="s">
        <v>242</v>
      </c>
      <c r="G99" s="17"/>
      <c r="H99" s="23"/>
      <c r="I99" s="24"/>
    </row>
    <row r="100" customFormat="false" ht="25.5" hidden="false" customHeight="true" outlineLevel="0" collapsed="false">
      <c r="A100" s="17" t="s">
        <v>243</v>
      </c>
      <c r="B100" s="18" t="str">
        <f aca="false">IF(OR($A100=$B$3,$A100="Beneficiario Controlador"),"Sí","—")</f>
        <v>—</v>
      </c>
      <c r="C100" s="19" t="s">
        <v>39</v>
      </c>
      <c r="D100" s="20" t="s">
        <v>40</v>
      </c>
      <c r="E100" s="21" t="s">
        <v>244</v>
      </c>
      <c r="F100" s="22" t="s">
        <v>245</v>
      </c>
      <c r="G100" s="17"/>
      <c r="H100" s="23"/>
      <c r="I100" s="24"/>
    </row>
    <row r="101" customFormat="false" ht="25.5" hidden="false" customHeight="true" outlineLevel="0" collapsed="false">
      <c r="A101" s="17" t="s">
        <v>243</v>
      </c>
      <c r="B101" s="18" t="str">
        <f aca="false">IF(OR($A101=$B$3,$A101="Beneficiario Controlador"),"Sí","—")</f>
        <v>—</v>
      </c>
      <c r="C101" s="19" t="s">
        <v>43</v>
      </c>
      <c r="D101" s="20" t="s">
        <v>40</v>
      </c>
      <c r="E101" s="21" t="s">
        <v>246</v>
      </c>
      <c r="F101" s="22" t="s">
        <v>247</v>
      </c>
      <c r="G101" s="17"/>
      <c r="H101" s="23"/>
      <c r="I101" s="24"/>
    </row>
    <row r="102" customFormat="false" ht="69.75" hidden="false" customHeight="true" outlineLevel="0" collapsed="false">
      <c r="A102" s="17" t="s">
        <v>243</v>
      </c>
      <c r="B102" s="18" t="str">
        <f aca="false">IF(OR($A102=$B$3,$A102="Beneficiario Controlador"),"Sí","—")</f>
        <v>—</v>
      </c>
      <c r="C102" s="19" t="s">
        <v>46</v>
      </c>
      <c r="D102" s="20" t="s">
        <v>40</v>
      </c>
      <c r="E102" s="21" t="s">
        <v>248</v>
      </c>
      <c r="F102" s="22" t="s">
        <v>249</v>
      </c>
      <c r="G102" s="17"/>
      <c r="H102" s="23"/>
      <c r="I102" s="24"/>
    </row>
    <row r="103" customFormat="false" ht="54" hidden="false" customHeight="true" outlineLevel="0" collapsed="false">
      <c r="A103" s="17" t="s">
        <v>243</v>
      </c>
      <c r="B103" s="18" t="str">
        <f aca="false">IF(OR($A103=$B$3,$A103="Beneficiario Controlador"),"Sí","—")</f>
        <v>—</v>
      </c>
      <c r="C103" s="19" t="s">
        <v>49</v>
      </c>
      <c r="D103" s="20" t="s">
        <v>40</v>
      </c>
      <c r="E103" s="21" t="s">
        <v>250</v>
      </c>
      <c r="F103" s="22" t="s">
        <v>251</v>
      </c>
      <c r="G103" s="17"/>
      <c r="H103" s="23"/>
      <c r="I103" s="24"/>
    </row>
    <row r="104" customFormat="false" ht="25.5" hidden="false" customHeight="true" outlineLevel="0" collapsed="false">
      <c r="A104" s="17" t="s">
        <v>252</v>
      </c>
      <c r="B104" s="18" t="str">
        <f aca="false">IF(OR($A104=$B$3,$A104="Beneficiario Controlador"),"Sí","—")</f>
        <v>—</v>
      </c>
      <c r="C104" s="19" t="s">
        <v>39</v>
      </c>
      <c r="D104" s="20" t="s">
        <v>40</v>
      </c>
      <c r="E104" s="21" t="s">
        <v>253</v>
      </c>
      <c r="F104" s="22" t="s">
        <v>254</v>
      </c>
      <c r="G104" s="17"/>
      <c r="H104" s="23"/>
      <c r="I104" s="24"/>
    </row>
    <row r="105" customFormat="false" ht="25.5" hidden="false" customHeight="true" outlineLevel="0" collapsed="false">
      <c r="A105" s="17" t="s">
        <v>252</v>
      </c>
      <c r="B105" s="18" t="str">
        <f aca="false">IF(OR($A105=$B$3,$A105="Beneficiario Controlador"),"Sí","—")</f>
        <v>—</v>
      </c>
      <c r="C105" s="19" t="s">
        <v>43</v>
      </c>
      <c r="D105" s="20" t="s">
        <v>40</v>
      </c>
      <c r="E105" s="21" t="s">
        <v>255</v>
      </c>
      <c r="F105" s="22" t="s">
        <v>256</v>
      </c>
      <c r="G105" s="17"/>
      <c r="H105" s="23"/>
      <c r="I105" s="24"/>
    </row>
    <row r="106" customFormat="false" ht="25.5" hidden="false" customHeight="true" outlineLevel="0" collapsed="false">
      <c r="A106" s="17" t="s">
        <v>252</v>
      </c>
      <c r="B106" s="18" t="str">
        <f aca="false">IF(OR($A106=$B$3,$A106="Beneficiario Controlador"),"Sí","—")</f>
        <v>—</v>
      </c>
      <c r="C106" s="19" t="s">
        <v>46</v>
      </c>
      <c r="D106" s="20" t="s">
        <v>40</v>
      </c>
      <c r="E106" s="21" t="s">
        <v>257</v>
      </c>
      <c r="F106" s="22" t="s">
        <v>258</v>
      </c>
      <c r="G106" s="17"/>
      <c r="H106" s="23"/>
      <c r="I106" s="24"/>
    </row>
    <row r="107" customFormat="false" ht="69.75" hidden="false" customHeight="true" outlineLevel="0" collapsed="false">
      <c r="A107" s="17" t="s">
        <v>252</v>
      </c>
      <c r="B107" s="18" t="str">
        <f aca="false">IF(OR($A107=$B$3,$A107="Beneficiario Controlador"),"Sí","—")</f>
        <v>—</v>
      </c>
      <c r="C107" s="19" t="s">
        <v>49</v>
      </c>
      <c r="D107" s="20" t="s">
        <v>40</v>
      </c>
      <c r="E107" s="21" t="s">
        <v>259</v>
      </c>
      <c r="F107" s="22" t="s">
        <v>260</v>
      </c>
      <c r="G107" s="17"/>
      <c r="H107" s="23"/>
      <c r="I107" s="24"/>
    </row>
    <row r="108" customFormat="false" ht="25.5" hidden="false" customHeight="true" outlineLevel="0" collapsed="false">
      <c r="A108" s="17" t="s">
        <v>252</v>
      </c>
      <c r="B108" s="18" t="str">
        <f aca="false">IF(OR($A108=$B$3,$A108="Beneficiario Controlador"),"Sí","—")</f>
        <v>—</v>
      </c>
      <c r="C108" s="19" t="s">
        <v>73</v>
      </c>
      <c r="D108" s="20" t="s">
        <v>74</v>
      </c>
      <c r="E108" s="21" t="s">
        <v>261</v>
      </c>
      <c r="F108" s="22" t="s">
        <v>262</v>
      </c>
      <c r="G108" s="17"/>
      <c r="H108" s="23"/>
      <c r="I108" s="24"/>
    </row>
    <row r="109" customFormat="false" ht="39.75" hidden="false" customHeight="true" outlineLevel="0" collapsed="false">
      <c r="A109" s="17" t="s">
        <v>252</v>
      </c>
      <c r="B109" s="18" t="str">
        <f aca="false">IF(OR($A109=$B$3,$A109="Beneficiario Controlador"),"Sí","—")</f>
        <v>—</v>
      </c>
      <c r="C109" s="19" t="s">
        <v>81</v>
      </c>
      <c r="D109" s="20" t="s">
        <v>74</v>
      </c>
      <c r="E109" s="21" t="s">
        <v>263</v>
      </c>
      <c r="F109" s="22" t="s">
        <v>264</v>
      </c>
      <c r="G109" s="17"/>
      <c r="H109" s="23"/>
      <c r="I109" s="24"/>
    </row>
    <row r="110" customFormat="false" ht="69.75" hidden="false" customHeight="true" outlineLevel="0" collapsed="false">
      <c r="A110" s="17" t="s">
        <v>252</v>
      </c>
      <c r="B110" s="18" t="str">
        <f aca="false">IF(OR($A110=$B$3,$A110="Beneficiario Controlador"),"Sí","—")</f>
        <v>—</v>
      </c>
      <c r="C110" s="19" t="s">
        <v>85</v>
      </c>
      <c r="D110" s="20" t="s">
        <v>74</v>
      </c>
      <c r="E110" s="21" t="s">
        <v>265</v>
      </c>
      <c r="F110" s="22" t="s">
        <v>266</v>
      </c>
      <c r="G110" s="17"/>
      <c r="H110" s="23"/>
      <c r="I110" s="24"/>
    </row>
    <row r="111" customFormat="false" ht="69.75" hidden="false" customHeight="true" outlineLevel="0" collapsed="false">
      <c r="A111" s="17" t="s">
        <v>252</v>
      </c>
      <c r="B111" s="18" t="str">
        <f aca="false">IF(OR($A111=$B$3,$A111="Beneficiario Controlador"),"Sí","—")</f>
        <v>—</v>
      </c>
      <c r="C111" s="19" t="s">
        <v>200</v>
      </c>
      <c r="D111" s="20" t="s">
        <v>74</v>
      </c>
      <c r="E111" s="21" t="s">
        <v>267</v>
      </c>
      <c r="F111" s="22" t="s">
        <v>268</v>
      </c>
      <c r="G111" s="25" t="s">
        <v>203</v>
      </c>
      <c r="H111" s="23"/>
      <c r="I111" s="24"/>
    </row>
    <row r="112" customFormat="false" ht="39.75" hidden="false" customHeight="true" outlineLevel="0" collapsed="false">
      <c r="A112" s="17" t="s">
        <v>252</v>
      </c>
      <c r="B112" s="18" t="str">
        <f aca="false">IF(OR($A112=$B$3,$A112="Beneficiario Controlador"),"Sí","—")</f>
        <v>—</v>
      </c>
      <c r="C112" s="19" t="s">
        <v>88</v>
      </c>
      <c r="D112" s="20" t="s">
        <v>89</v>
      </c>
      <c r="E112" s="21" t="s">
        <v>269</v>
      </c>
      <c r="F112" s="22" t="s">
        <v>270</v>
      </c>
      <c r="G112" s="25" t="s">
        <v>271</v>
      </c>
      <c r="H112" s="23"/>
      <c r="I112" s="24"/>
    </row>
    <row r="113" customFormat="false" ht="78" hidden="false" customHeight="true" outlineLevel="0" collapsed="false">
      <c r="A113" s="17" t="s">
        <v>272</v>
      </c>
      <c r="B113" s="18" t="str">
        <f aca="false">IF(OR($A113=$B$3,$A113="Beneficiario Controlador"),"Sí","—")</f>
        <v>Sí</v>
      </c>
      <c r="C113" s="19" t="s">
        <v>39</v>
      </c>
      <c r="D113" s="20" t="s">
        <v>40</v>
      </c>
      <c r="E113" s="21" t="s">
        <v>273</v>
      </c>
      <c r="F113" s="22" t="s">
        <v>274</v>
      </c>
      <c r="G113" s="25" t="s">
        <v>275</v>
      </c>
      <c r="H113" s="23"/>
      <c r="I113" s="24"/>
    </row>
    <row r="114" customFormat="false" ht="78" hidden="false" customHeight="true" outlineLevel="0" collapsed="false">
      <c r="A114" s="17" t="s">
        <v>272</v>
      </c>
      <c r="B114" s="18" t="str">
        <f aca="false">IF(OR($A114=$B$3,$A114="Beneficiario Controlador"),"Sí","—")</f>
        <v>Sí</v>
      </c>
      <c r="C114" s="19" t="s">
        <v>43</v>
      </c>
      <c r="D114" s="20" t="s">
        <v>40</v>
      </c>
      <c r="E114" s="21" t="s">
        <v>44</v>
      </c>
      <c r="F114" s="22" t="s">
        <v>276</v>
      </c>
      <c r="G114" s="25" t="s">
        <v>275</v>
      </c>
      <c r="H114" s="23"/>
      <c r="I114" s="24"/>
    </row>
    <row r="115" customFormat="false" ht="78" hidden="false" customHeight="true" outlineLevel="0" collapsed="false">
      <c r="A115" s="17" t="s">
        <v>272</v>
      </c>
      <c r="B115" s="18" t="str">
        <f aca="false">IF(OR($A115=$B$3,$A115="Beneficiario Controlador"),"Sí","—")</f>
        <v>Sí</v>
      </c>
      <c r="C115" s="19" t="s">
        <v>49</v>
      </c>
      <c r="D115" s="20" t="s">
        <v>40</v>
      </c>
      <c r="E115" s="21" t="s">
        <v>50</v>
      </c>
      <c r="F115" s="22" t="s">
        <v>277</v>
      </c>
      <c r="G115" s="25" t="s">
        <v>275</v>
      </c>
      <c r="H115" s="23"/>
      <c r="I115" s="24"/>
    </row>
    <row r="116" customFormat="false" ht="78" hidden="false" customHeight="true" outlineLevel="0" collapsed="false">
      <c r="A116" s="17" t="s">
        <v>272</v>
      </c>
      <c r="B116" s="18" t="str">
        <f aca="false">IF(OR($A116=$B$3,$A116="Beneficiario Controlador"),"Sí","—")</f>
        <v>Sí</v>
      </c>
      <c r="C116" s="19" t="s">
        <v>64</v>
      </c>
      <c r="D116" s="20" t="s">
        <v>40</v>
      </c>
      <c r="E116" s="21" t="s">
        <v>278</v>
      </c>
      <c r="F116" s="22" t="s">
        <v>279</v>
      </c>
      <c r="G116" s="25" t="s">
        <v>275</v>
      </c>
      <c r="H116" s="23"/>
      <c r="I116" s="24"/>
    </row>
    <row r="118" customFormat="false" ht="15" hidden="false" customHeight="true" outlineLevel="0" collapsed="false">
      <c r="A118" s="26" t="s">
        <v>280</v>
      </c>
    </row>
    <row r="119" customFormat="false" ht="15" hidden="false" customHeight="true" outlineLevel="0" collapsed="false">
      <c r="C119" s="27" t="s">
        <v>39</v>
      </c>
      <c r="D119" s="27" t="s">
        <v>40</v>
      </c>
      <c r="E119" s="27" t="s">
        <v>281</v>
      </c>
      <c r="H119" s="27" t="s">
        <v>282</v>
      </c>
      <c r="I119" s="27" t="s">
        <v>283</v>
      </c>
    </row>
  </sheetData>
  <autoFilter ref="A5:I116"/>
  <mergeCells count="3">
    <mergeCell ref="A1:I1"/>
    <mergeCell ref="B3:D3"/>
    <mergeCell ref="H3:I3"/>
  </mergeCells>
  <conditionalFormatting sqref="A6:G116">
    <cfRule type="expression" priority="2" aboveAverage="0" equalAverage="0" bottom="0" percent="0" rank="0" text="" dxfId="12">
      <formula>$B6="—"</formula>
    </cfRule>
  </conditionalFormatting>
  <conditionalFormatting sqref="H6:H116">
    <cfRule type="expression" priority="3" aboveAverage="0" equalAverage="0" bottom="0" percent="0" rank="0" text="" dxfId="13">
      <formula>$H6="No"</formula>
    </cfRule>
    <cfRule type="expression" priority="4" aboveAverage="0" equalAverage="0" bottom="0" percent="0" rank="0" text="" dxfId="14">
      <formula>$H6="Sí"</formula>
    </cfRule>
    <cfRule type="expression" priority="5" aboveAverage="0" equalAverage="0" bottom="0" percent="0" rank="0" text="" dxfId="15">
      <formula>$H6="Parcial"</formula>
    </cfRule>
  </conditionalFormatting>
  <dataValidations count="2">
    <dataValidation allowBlank="false" errorStyle="stop" operator="between" showDropDown="false" showErrorMessage="false" showInputMessage="false" sqref="B3" type="list">
      <formula1>"Persona física mexicana o residente,Persona moral mexicana,Persona moral mexicana de derecho público,Persona física extranjera (visitante),Persona moral extranjera,Embajada,consulado u organismo internacional,Régimen simplificado · Anexo 7-A,Régimen simpl"</formula1>
      <formula2>0</formula2>
    </dataValidation>
    <dataValidation allowBlank="true" errorStyle="stop" operator="between" showDropDown="false" showErrorMessage="false" showInputMessage="false" sqref="H6:H116" type="list">
      <formula1>"Sí,Parcial,No,No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52"/>
    <col collapsed="false" customWidth="true" hidden="false" outlineLevel="0" max="3" min="3" style="1" width="12"/>
    <col collapsed="false" customWidth="true" hidden="false" outlineLevel="0" max="12" min="4" style="1" width="17"/>
  </cols>
  <sheetData>
    <row r="1" customFormat="false" ht="27.75" hidden="false" customHeight="true" outlineLevel="0" collapsed="false">
      <c r="A1" s="10" t="s">
        <v>284</v>
      </c>
      <c r="B1" s="10"/>
      <c r="C1" s="10"/>
      <c r="D1" s="10"/>
      <c r="E1" s="10"/>
      <c r="F1" s="10"/>
      <c r="G1" s="10"/>
      <c r="H1" s="10"/>
      <c r="I1" s="10"/>
      <c r="J1" s="10"/>
      <c r="K1" s="10"/>
      <c r="L1" s="10"/>
    </row>
    <row r="3" customFormat="false" ht="31.5" hidden="false" customHeight="true" outlineLevel="0" collapsed="false">
      <c r="B3" s="28" t="s">
        <v>285</v>
      </c>
      <c r="C3" s="28"/>
      <c r="D3" s="28"/>
      <c r="E3" s="28"/>
      <c r="F3" s="28"/>
      <c r="G3" s="28"/>
      <c r="H3" s="28"/>
      <c r="I3" s="28"/>
      <c r="J3" s="28"/>
      <c r="K3" s="28"/>
      <c r="L3" s="28"/>
    </row>
    <row r="5" customFormat="false" ht="51.75" hidden="false" customHeight="true" outlineLevel="0" collapsed="false">
      <c r="B5" s="29" t="s">
        <v>33</v>
      </c>
      <c r="C5" s="29" t="s">
        <v>32</v>
      </c>
      <c r="D5" s="30" t="s">
        <v>286</v>
      </c>
      <c r="E5" s="30" t="s">
        <v>287</v>
      </c>
      <c r="F5" s="30" t="s">
        <v>288</v>
      </c>
      <c r="G5" s="30" t="s">
        <v>289</v>
      </c>
      <c r="H5" s="30" t="s">
        <v>290</v>
      </c>
      <c r="I5" s="30" t="s">
        <v>291</v>
      </c>
      <c r="J5" s="30" t="s">
        <v>292</v>
      </c>
      <c r="K5" s="30" t="s">
        <v>293</v>
      </c>
      <c r="L5" s="30" t="s">
        <v>294</v>
      </c>
    </row>
    <row r="6" customFormat="false" ht="30" hidden="false" customHeight="true" outlineLevel="0" collapsed="false">
      <c r="B6" s="31" t="s">
        <v>295</v>
      </c>
      <c r="C6" s="32" t="s">
        <v>40</v>
      </c>
      <c r="D6" s="33" t="s">
        <v>39</v>
      </c>
      <c r="E6" s="33" t="s">
        <v>39</v>
      </c>
      <c r="F6" s="33" t="s">
        <v>39</v>
      </c>
      <c r="G6" s="33" t="s">
        <v>39</v>
      </c>
      <c r="H6" s="33" t="s">
        <v>39</v>
      </c>
      <c r="I6" s="33" t="s">
        <v>39</v>
      </c>
      <c r="J6" s="33" t="s">
        <v>39</v>
      </c>
      <c r="K6" s="33" t="s">
        <v>39</v>
      </c>
      <c r="L6" s="33" t="s">
        <v>296</v>
      </c>
    </row>
    <row r="7" customFormat="false" ht="30" hidden="false" customHeight="true" outlineLevel="0" collapsed="false">
      <c r="B7" s="31" t="s">
        <v>297</v>
      </c>
      <c r="C7" s="32" t="s">
        <v>40</v>
      </c>
      <c r="D7" s="33" t="s">
        <v>43</v>
      </c>
      <c r="E7" s="33" t="s">
        <v>43</v>
      </c>
      <c r="F7" s="33" t="s">
        <v>43</v>
      </c>
      <c r="G7" s="33" t="s">
        <v>43</v>
      </c>
      <c r="H7" s="33" t="s">
        <v>43</v>
      </c>
      <c r="I7" s="33" t="s">
        <v>298</v>
      </c>
      <c r="J7" s="33" t="s">
        <v>299</v>
      </c>
      <c r="K7" s="33" t="s">
        <v>298</v>
      </c>
      <c r="L7" s="34" t="s">
        <v>300</v>
      </c>
    </row>
    <row r="8" customFormat="false" ht="30" hidden="false" customHeight="true" outlineLevel="0" collapsed="false">
      <c r="B8" s="31" t="s">
        <v>301</v>
      </c>
      <c r="C8" s="32" t="s">
        <v>40</v>
      </c>
      <c r="D8" s="33" t="s">
        <v>46</v>
      </c>
      <c r="E8" s="34" t="s">
        <v>300</v>
      </c>
      <c r="F8" s="34" t="s">
        <v>300</v>
      </c>
      <c r="G8" s="33" t="s">
        <v>46</v>
      </c>
      <c r="H8" s="34" t="s">
        <v>300</v>
      </c>
      <c r="I8" s="34" t="s">
        <v>300</v>
      </c>
      <c r="J8" s="34" t="s">
        <v>300</v>
      </c>
      <c r="K8" s="34" t="s">
        <v>300</v>
      </c>
      <c r="L8" s="34" t="s">
        <v>300</v>
      </c>
    </row>
    <row r="9" customFormat="false" ht="30" hidden="false" customHeight="true" outlineLevel="0" collapsed="false">
      <c r="B9" s="31" t="s">
        <v>302</v>
      </c>
      <c r="C9" s="32" t="s">
        <v>40</v>
      </c>
      <c r="D9" s="33" t="s">
        <v>49</v>
      </c>
      <c r="E9" s="33" t="s">
        <v>46</v>
      </c>
      <c r="F9" s="34" t="s">
        <v>300</v>
      </c>
      <c r="G9" s="33" t="s">
        <v>49</v>
      </c>
      <c r="H9" s="33" t="s">
        <v>46</v>
      </c>
      <c r="I9" s="34" t="s">
        <v>300</v>
      </c>
      <c r="J9" s="34" t="s">
        <v>300</v>
      </c>
      <c r="K9" s="34" t="s">
        <v>300</v>
      </c>
      <c r="L9" s="34" t="s">
        <v>300</v>
      </c>
    </row>
    <row r="10" customFormat="false" ht="39.75" hidden="false" customHeight="true" outlineLevel="0" collapsed="false">
      <c r="B10" s="31" t="s">
        <v>303</v>
      </c>
      <c r="C10" s="32" t="s">
        <v>40</v>
      </c>
      <c r="D10" s="33" t="s">
        <v>52</v>
      </c>
      <c r="E10" s="33" t="s">
        <v>49</v>
      </c>
      <c r="F10" s="34" t="s">
        <v>300</v>
      </c>
      <c r="G10" s="33" t="s">
        <v>52</v>
      </c>
      <c r="H10" s="33" t="s">
        <v>49</v>
      </c>
      <c r="I10" s="34" t="s">
        <v>300</v>
      </c>
      <c r="J10" s="33" t="s">
        <v>43</v>
      </c>
      <c r="K10" s="34" t="s">
        <v>300</v>
      </c>
      <c r="L10" s="34" t="s">
        <v>300</v>
      </c>
    </row>
    <row r="11" customFormat="false" ht="30" hidden="false" customHeight="true" outlineLevel="0" collapsed="false">
      <c r="B11" s="31" t="s">
        <v>304</v>
      </c>
      <c r="C11" s="32" t="s">
        <v>40</v>
      </c>
      <c r="D11" s="33" t="s">
        <v>55</v>
      </c>
      <c r="E11" s="33" t="s">
        <v>52</v>
      </c>
      <c r="F11" s="33" t="s">
        <v>46</v>
      </c>
      <c r="G11" s="33" t="s">
        <v>55</v>
      </c>
      <c r="H11" s="33" t="s">
        <v>55</v>
      </c>
      <c r="I11" s="33" t="s">
        <v>46</v>
      </c>
      <c r="J11" s="33" t="s">
        <v>49</v>
      </c>
      <c r="K11" s="33" t="s">
        <v>46</v>
      </c>
      <c r="L11" s="34" t="s">
        <v>300</v>
      </c>
    </row>
    <row r="12" customFormat="false" ht="30" hidden="false" customHeight="true" outlineLevel="0" collapsed="false">
      <c r="B12" s="31" t="s">
        <v>305</v>
      </c>
      <c r="C12" s="32" t="s">
        <v>40</v>
      </c>
      <c r="D12" s="33" t="s">
        <v>58</v>
      </c>
      <c r="E12" s="33" t="s">
        <v>55</v>
      </c>
      <c r="F12" s="33" t="s">
        <v>49</v>
      </c>
      <c r="G12" s="34" t="s">
        <v>300</v>
      </c>
      <c r="H12" s="33" t="s">
        <v>58</v>
      </c>
      <c r="I12" s="33" t="s">
        <v>49</v>
      </c>
      <c r="J12" s="33" t="s">
        <v>52</v>
      </c>
      <c r="K12" s="34" t="s">
        <v>300</v>
      </c>
      <c r="L12" s="34" t="s">
        <v>300</v>
      </c>
    </row>
    <row r="13" customFormat="false" ht="30" hidden="false" customHeight="true" outlineLevel="0" collapsed="false">
      <c r="B13" s="31" t="s">
        <v>306</v>
      </c>
      <c r="C13" s="32" t="s">
        <v>40</v>
      </c>
      <c r="D13" s="33" t="s">
        <v>61</v>
      </c>
      <c r="E13" s="33" t="s">
        <v>58</v>
      </c>
      <c r="F13" s="33" t="s">
        <v>52</v>
      </c>
      <c r="G13" s="34" t="s">
        <v>300</v>
      </c>
      <c r="H13" s="33" t="s">
        <v>61</v>
      </c>
      <c r="I13" s="33" t="s">
        <v>52</v>
      </c>
      <c r="J13" s="33" t="s">
        <v>55</v>
      </c>
      <c r="K13" s="34" t="s">
        <v>300</v>
      </c>
      <c r="L13" s="34" t="s">
        <v>300</v>
      </c>
    </row>
    <row r="14" customFormat="false" ht="39.75" hidden="false" customHeight="true" outlineLevel="0" collapsed="false">
      <c r="B14" s="31" t="s">
        <v>307</v>
      </c>
      <c r="C14" s="32" t="s">
        <v>40</v>
      </c>
      <c r="D14" s="33" t="s">
        <v>64</v>
      </c>
      <c r="E14" s="33" t="s">
        <v>61</v>
      </c>
      <c r="F14" s="33" t="s">
        <v>55</v>
      </c>
      <c r="G14" s="34" t="s">
        <v>300</v>
      </c>
      <c r="H14" s="33" t="s">
        <v>52</v>
      </c>
      <c r="I14" s="33" t="s">
        <v>43</v>
      </c>
      <c r="J14" s="33" t="s">
        <v>46</v>
      </c>
      <c r="K14" s="33" t="s">
        <v>43</v>
      </c>
      <c r="L14" s="33" t="s">
        <v>46</v>
      </c>
    </row>
    <row r="15" customFormat="false" ht="30" hidden="false" customHeight="true" outlineLevel="0" collapsed="false">
      <c r="B15" s="31" t="s">
        <v>308</v>
      </c>
      <c r="C15" s="32" t="s">
        <v>40</v>
      </c>
      <c r="D15" s="33" t="s">
        <v>67</v>
      </c>
      <c r="E15" s="34" t="s">
        <v>300</v>
      </c>
      <c r="F15" s="34" t="s">
        <v>300</v>
      </c>
      <c r="G15" s="33" t="s">
        <v>58</v>
      </c>
      <c r="H15" s="34" t="s">
        <v>300</v>
      </c>
      <c r="I15" s="34" t="s">
        <v>300</v>
      </c>
      <c r="J15" s="34" t="s">
        <v>300</v>
      </c>
      <c r="K15" s="34" t="s">
        <v>300</v>
      </c>
      <c r="L15" s="34" t="s">
        <v>300</v>
      </c>
    </row>
    <row r="16" customFormat="false" ht="30" hidden="false" customHeight="true" outlineLevel="0" collapsed="false">
      <c r="B16" s="31" t="s">
        <v>309</v>
      </c>
      <c r="C16" s="32" t="s">
        <v>40</v>
      </c>
      <c r="D16" s="33" t="s">
        <v>310</v>
      </c>
      <c r="E16" s="34" t="s">
        <v>300</v>
      </c>
      <c r="F16" s="34" t="s">
        <v>300</v>
      </c>
      <c r="G16" s="33" t="s">
        <v>310</v>
      </c>
      <c r="H16" s="34" t="s">
        <v>300</v>
      </c>
      <c r="I16" s="34" t="s">
        <v>300</v>
      </c>
      <c r="J16" s="34" t="s">
        <v>300</v>
      </c>
      <c r="K16" s="34" t="s">
        <v>300</v>
      </c>
      <c r="L16" s="34" t="s">
        <v>300</v>
      </c>
    </row>
    <row r="17" customFormat="false" ht="30" hidden="false" customHeight="true" outlineLevel="0" collapsed="false">
      <c r="B17" s="31" t="s">
        <v>311</v>
      </c>
      <c r="C17" s="32" t="s">
        <v>40</v>
      </c>
      <c r="D17" s="34" t="s">
        <v>300</v>
      </c>
      <c r="E17" s="34" t="s">
        <v>300</v>
      </c>
      <c r="F17" s="34" t="s">
        <v>300</v>
      </c>
      <c r="G17" s="34" t="s">
        <v>300</v>
      </c>
      <c r="H17" s="34" t="s">
        <v>300</v>
      </c>
      <c r="I17" s="34" t="s">
        <v>300</v>
      </c>
      <c r="J17" s="34" t="s">
        <v>300</v>
      </c>
      <c r="K17" s="34" t="s">
        <v>300</v>
      </c>
      <c r="L17" s="33" t="s">
        <v>43</v>
      </c>
    </row>
    <row r="18" customFormat="false" ht="39.75" hidden="false" customHeight="true" outlineLevel="0" collapsed="false">
      <c r="B18" s="31" t="s">
        <v>312</v>
      </c>
      <c r="C18" s="32" t="s">
        <v>40</v>
      </c>
      <c r="D18" s="34" t="s">
        <v>300</v>
      </c>
      <c r="E18" s="33" t="s">
        <v>64</v>
      </c>
      <c r="F18" s="33" t="s">
        <v>58</v>
      </c>
      <c r="G18" s="34" t="s">
        <v>300</v>
      </c>
      <c r="H18" s="33" t="s">
        <v>64</v>
      </c>
      <c r="I18" s="33" t="s">
        <v>55</v>
      </c>
      <c r="J18" s="33" t="s">
        <v>58</v>
      </c>
      <c r="K18" s="33" t="s">
        <v>49</v>
      </c>
      <c r="L18" s="33" t="s">
        <v>49</v>
      </c>
    </row>
    <row r="19" customFormat="false" ht="30" hidden="false" customHeight="true" outlineLevel="0" collapsed="false">
      <c r="B19" s="31" t="s">
        <v>313</v>
      </c>
      <c r="C19" s="32" t="s">
        <v>74</v>
      </c>
      <c r="D19" s="33" t="s">
        <v>73</v>
      </c>
      <c r="E19" s="34" t="s">
        <v>300</v>
      </c>
      <c r="F19" s="34" t="s">
        <v>300</v>
      </c>
      <c r="G19" s="33" t="s">
        <v>314</v>
      </c>
      <c r="H19" s="34" t="s">
        <v>300</v>
      </c>
      <c r="I19" s="34" t="s">
        <v>300</v>
      </c>
      <c r="J19" s="34" t="s">
        <v>300</v>
      </c>
      <c r="K19" s="34" t="s">
        <v>300</v>
      </c>
      <c r="L19" s="34" t="s">
        <v>300</v>
      </c>
    </row>
    <row r="20" customFormat="false" ht="30" hidden="false" customHeight="true" outlineLevel="0" collapsed="false">
      <c r="B20" s="31" t="s">
        <v>315</v>
      </c>
      <c r="C20" s="32" t="s">
        <v>74</v>
      </c>
      <c r="D20" s="34" t="s">
        <v>300</v>
      </c>
      <c r="E20" s="34" t="s">
        <v>300</v>
      </c>
      <c r="F20" s="34" t="s">
        <v>300</v>
      </c>
      <c r="G20" s="33" t="s">
        <v>81</v>
      </c>
      <c r="H20" s="34" t="s">
        <v>300</v>
      </c>
      <c r="I20" s="34" t="s">
        <v>300</v>
      </c>
      <c r="J20" s="34" t="s">
        <v>300</v>
      </c>
      <c r="K20" s="34" t="s">
        <v>300</v>
      </c>
      <c r="L20" s="34" t="s">
        <v>300</v>
      </c>
    </row>
    <row r="21" customFormat="false" ht="30" hidden="false" customHeight="true" outlineLevel="0" collapsed="false">
      <c r="B21" s="31" t="s">
        <v>316</v>
      </c>
      <c r="C21" s="32" t="s">
        <v>74</v>
      </c>
      <c r="D21" s="33" t="s">
        <v>81</v>
      </c>
      <c r="E21" s="34" t="s">
        <v>300</v>
      </c>
      <c r="F21" s="34" t="s">
        <v>300</v>
      </c>
      <c r="G21" s="34" t="s">
        <v>300</v>
      </c>
      <c r="H21" s="34" t="s">
        <v>300</v>
      </c>
      <c r="I21" s="34" t="s">
        <v>300</v>
      </c>
      <c r="J21" s="34" t="s">
        <v>300</v>
      </c>
      <c r="K21" s="34" t="s">
        <v>300</v>
      </c>
      <c r="L21" s="34" t="s">
        <v>300</v>
      </c>
    </row>
    <row r="22" customFormat="false" ht="30" hidden="false" customHeight="true" outlineLevel="0" collapsed="false">
      <c r="B22" s="31" t="s">
        <v>317</v>
      </c>
      <c r="C22" s="32" t="s">
        <v>74</v>
      </c>
      <c r="D22" s="33" t="s">
        <v>85</v>
      </c>
      <c r="E22" s="33" t="s">
        <v>85</v>
      </c>
      <c r="F22" s="33" t="s">
        <v>85</v>
      </c>
      <c r="G22" s="33" t="s">
        <v>85</v>
      </c>
      <c r="H22" s="33" t="s">
        <v>81</v>
      </c>
      <c r="I22" s="33" t="s">
        <v>81</v>
      </c>
      <c r="J22" s="34" t="s">
        <v>300</v>
      </c>
      <c r="K22" s="34" t="s">
        <v>300</v>
      </c>
      <c r="L22" s="34" t="s">
        <v>300</v>
      </c>
    </row>
    <row r="23" customFormat="false" ht="39.75" hidden="false" customHeight="true" outlineLevel="0" collapsed="false">
      <c r="B23" s="31" t="s">
        <v>318</v>
      </c>
      <c r="C23" s="32" t="s">
        <v>89</v>
      </c>
      <c r="D23" s="34" t="s">
        <v>300</v>
      </c>
      <c r="E23" s="34" t="s">
        <v>300</v>
      </c>
      <c r="F23" s="34" t="s">
        <v>300</v>
      </c>
      <c r="G23" s="33" t="s">
        <v>319</v>
      </c>
      <c r="H23" s="34" t="s">
        <v>300</v>
      </c>
      <c r="I23" s="34" t="s">
        <v>300</v>
      </c>
      <c r="J23" s="34" t="s">
        <v>300</v>
      </c>
      <c r="K23" s="34" t="s">
        <v>300</v>
      </c>
      <c r="L23" s="34" t="s">
        <v>300</v>
      </c>
    </row>
    <row r="24" customFormat="false" ht="39.75" hidden="false" customHeight="true" outlineLevel="0" collapsed="false">
      <c r="B24" s="31" t="s">
        <v>320</v>
      </c>
      <c r="C24" s="32" t="s">
        <v>74</v>
      </c>
      <c r="D24" s="34" t="s">
        <v>300</v>
      </c>
      <c r="E24" s="33" t="s">
        <v>73</v>
      </c>
      <c r="F24" s="33" t="s">
        <v>73</v>
      </c>
      <c r="G24" s="34" t="s">
        <v>300</v>
      </c>
      <c r="H24" s="33" t="s">
        <v>73</v>
      </c>
      <c r="I24" s="33" t="s">
        <v>73</v>
      </c>
      <c r="J24" s="34" t="s">
        <v>300</v>
      </c>
      <c r="K24" s="34" t="s">
        <v>300</v>
      </c>
      <c r="L24" s="33" t="s">
        <v>73</v>
      </c>
    </row>
    <row r="25" customFormat="false" ht="30" hidden="false" customHeight="true" outlineLevel="0" collapsed="false">
      <c r="B25" s="31" t="s">
        <v>321</v>
      </c>
      <c r="C25" s="32" t="s">
        <v>74</v>
      </c>
      <c r="D25" s="34" t="s">
        <v>300</v>
      </c>
      <c r="E25" s="33" t="s">
        <v>81</v>
      </c>
      <c r="F25" s="33" t="s">
        <v>81</v>
      </c>
      <c r="G25" s="34" t="s">
        <v>300</v>
      </c>
      <c r="H25" s="33" t="s">
        <v>88</v>
      </c>
      <c r="I25" s="33" t="s">
        <v>88</v>
      </c>
      <c r="J25" s="34" t="s">
        <v>300</v>
      </c>
      <c r="K25" s="34" t="s">
        <v>300</v>
      </c>
      <c r="L25" s="33" t="s">
        <v>81</v>
      </c>
    </row>
    <row r="26" customFormat="false" ht="39.75" hidden="false" customHeight="true" outlineLevel="0" collapsed="false">
      <c r="B26" s="31" t="s">
        <v>322</v>
      </c>
      <c r="C26" s="32" t="s">
        <v>74</v>
      </c>
      <c r="D26" s="33" t="s">
        <v>323</v>
      </c>
      <c r="E26" s="33" t="s">
        <v>88</v>
      </c>
      <c r="F26" s="33" t="s">
        <v>88</v>
      </c>
      <c r="G26" s="33" t="s">
        <v>323</v>
      </c>
      <c r="H26" s="33" t="s">
        <v>85</v>
      </c>
      <c r="I26" s="33" t="s">
        <v>85</v>
      </c>
      <c r="J26" s="34" t="s">
        <v>300</v>
      </c>
      <c r="K26" s="34" t="s">
        <v>300</v>
      </c>
      <c r="L26" s="33" t="s">
        <v>85</v>
      </c>
    </row>
    <row r="27" customFormat="false" ht="30" hidden="false" customHeight="true" outlineLevel="0" collapsed="false">
      <c r="B27" s="35" t="s">
        <v>272</v>
      </c>
      <c r="C27" s="36" t="s">
        <v>89</v>
      </c>
      <c r="D27" s="37" t="s">
        <v>324</v>
      </c>
      <c r="E27" s="38" t="s">
        <v>325</v>
      </c>
      <c r="F27" s="34" t="s">
        <v>300</v>
      </c>
      <c r="G27" s="37" t="s">
        <v>324</v>
      </c>
      <c r="H27" s="38" t="s">
        <v>325</v>
      </c>
      <c r="I27" s="39" t="s">
        <v>326</v>
      </c>
      <c r="J27" s="34" t="s">
        <v>300</v>
      </c>
      <c r="K27" s="34" t="s">
        <v>300</v>
      </c>
      <c r="L27" s="38" t="s">
        <v>327</v>
      </c>
    </row>
    <row r="28" customFormat="false" ht="24" hidden="false" customHeight="true" outlineLevel="0" collapsed="false">
      <c r="B28" s="40" t="s">
        <v>328</v>
      </c>
      <c r="C28" s="41"/>
      <c r="D28" s="42" t="n">
        <f aca="false">COUNTIFS(D6:D27,"&lt;&gt;—",D6:D27,"&lt;&gt;DEROGADA")</f>
        <v>16</v>
      </c>
      <c r="E28" s="42" t="n">
        <f aca="false">COUNTIFS(E6:E27,"&lt;&gt;—",E6:E27,"&lt;&gt;DEROGADA")</f>
        <v>14</v>
      </c>
      <c r="F28" s="42" t="n">
        <f aca="false">COUNTIFS(F6:F27,"&lt;&gt;—",F6:F27,"&lt;&gt;DEROGADA")</f>
        <v>11</v>
      </c>
      <c r="G28" s="42" t="n">
        <f aca="false">COUNTIFS(G6:G27,"&lt;&gt;—",G6:G27,"&lt;&gt;DEROGADA")</f>
        <v>14</v>
      </c>
      <c r="H28" s="42" t="n">
        <f aca="false">COUNTIFS(H6:H27,"&lt;&gt;—",H6:H27,"&lt;&gt;DEROGADA")</f>
        <v>14</v>
      </c>
      <c r="I28" s="42" t="n">
        <f aca="false">COUNTIFS(I6:I27,"&lt;&gt;—",I6:I27,"&lt;&gt;DEROGADA")</f>
        <v>11</v>
      </c>
      <c r="J28" s="42" t="n">
        <f aca="false">COUNTIFS(J6:J27,"&lt;&gt;—",J6:J27,"&lt;&gt;DEROGADA")</f>
        <v>8</v>
      </c>
      <c r="K28" s="42" t="n">
        <f aca="false">COUNTIFS(K6:K27,"&lt;&gt;—",K6:K27,"&lt;&gt;DEROGADA")</f>
        <v>5</v>
      </c>
      <c r="L28" s="42" t="n">
        <f aca="false">COUNTIFS(L6:L27,"&lt;&gt;—",L6:L27,"&lt;&gt;DEROGADA")</f>
        <v>8</v>
      </c>
    </row>
    <row r="30" customFormat="false" ht="15" hidden="false" customHeight="true" outlineLevel="0" collapsed="false">
      <c r="B30" s="11" t="s">
        <v>329</v>
      </c>
    </row>
    <row r="31" customFormat="false" ht="25.5" hidden="false" customHeight="true" outlineLevel="0" collapsed="false">
      <c r="B31" s="14" t="s">
        <v>330</v>
      </c>
      <c r="C31" s="43" t="s">
        <v>331</v>
      </c>
      <c r="D31" s="43"/>
      <c r="E31" s="43"/>
      <c r="F31" s="43"/>
      <c r="G31" s="43"/>
      <c r="H31" s="43"/>
      <c r="I31" s="43"/>
      <c r="J31" s="43"/>
      <c r="K31" s="43"/>
      <c r="L31" s="43"/>
    </row>
    <row r="32" customFormat="false" ht="25.5" hidden="false" customHeight="true" outlineLevel="0" collapsed="false">
      <c r="B32" s="14" t="s">
        <v>332</v>
      </c>
      <c r="C32" s="43" t="s">
        <v>333</v>
      </c>
      <c r="D32" s="43"/>
      <c r="E32" s="43"/>
      <c r="F32" s="43"/>
      <c r="G32" s="43"/>
      <c r="H32" s="43"/>
      <c r="I32" s="43"/>
      <c r="J32" s="43"/>
      <c r="K32" s="43"/>
      <c r="L32" s="43"/>
    </row>
    <row r="33" customFormat="false" ht="25.5" hidden="false" customHeight="true" outlineLevel="0" collapsed="false">
      <c r="B33" s="14" t="s">
        <v>334</v>
      </c>
      <c r="C33" s="43" t="s">
        <v>335</v>
      </c>
      <c r="D33" s="43"/>
      <c r="E33" s="43"/>
      <c r="F33" s="43"/>
      <c r="G33" s="43"/>
      <c r="H33" s="43"/>
      <c r="I33" s="43"/>
      <c r="J33" s="43"/>
      <c r="K33" s="43"/>
      <c r="L33" s="43"/>
    </row>
    <row r="34" customFormat="false" ht="25.5" hidden="false" customHeight="true" outlineLevel="0" collapsed="false">
      <c r="B34" s="14" t="s">
        <v>336</v>
      </c>
      <c r="C34" s="43" t="s">
        <v>337</v>
      </c>
      <c r="D34" s="43"/>
      <c r="E34" s="43"/>
      <c r="F34" s="43"/>
      <c r="G34" s="43"/>
      <c r="H34" s="43"/>
      <c r="I34" s="43"/>
      <c r="J34" s="43"/>
      <c r="K34" s="43"/>
      <c r="L34" s="43"/>
    </row>
    <row r="35" customFormat="false" ht="25.5" hidden="false" customHeight="true" outlineLevel="0" collapsed="false">
      <c r="B35" s="14" t="s">
        <v>338</v>
      </c>
      <c r="C35" s="43" t="s">
        <v>339</v>
      </c>
      <c r="D35" s="43"/>
      <c r="E35" s="43"/>
      <c r="F35" s="43"/>
      <c r="G35" s="43"/>
      <c r="H35" s="43"/>
      <c r="I35" s="43"/>
      <c r="J35" s="43"/>
      <c r="K35" s="43"/>
      <c r="L35" s="43"/>
    </row>
    <row r="37" customFormat="false" ht="30" hidden="false" customHeight="true" outlineLevel="0" collapsed="false">
      <c r="B37" s="44" t="s">
        <v>340</v>
      </c>
      <c r="C37" s="44"/>
      <c r="D37" s="44"/>
      <c r="E37" s="44"/>
      <c r="F37" s="44"/>
      <c r="G37" s="44"/>
      <c r="H37" s="44"/>
      <c r="I37" s="44"/>
      <c r="J37" s="44"/>
      <c r="K37" s="44"/>
      <c r="L37" s="44"/>
    </row>
  </sheetData>
  <mergeCells count="8">
    <mergeCell ref="A1:L1"/>
    <mergeCell ref="B3:L3"/>
    <mergeCell ref="C31:L31"/>
    <mergeCell ref="C32:L32"/>
    <mergeCell ref="C33:L33"/>
    <mergeCell ref="C34:L34"/>
    <mergeCell ref="C35:L35"/>
    <mergeCell ref="B37:L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8"/>
    <col collapsed="false" customWidth="true" hidden="false" outlineLevel="0" max="3" min="3" style="1" width="62"/>
    <col collapsed="false" customWidth="true" hidden="false" outlineLevel="0" max="4" min="4" style="1" width="22"/>
    <col collapsed="false" customWidth="true" hidden="false" outlineLevel="0" max="5" min="5" style="1" width="13"/>
    <col collapsed="false" customWidth="true" hidden="false" outlineLevel="0" max="6" min="6" style="1" width="30"/>
  </cols>
  <sheetData>
    <row r="1" customFormat="false" ht="27.75" hidden="false" customHeight="true" outlineLevel="0" collapsed="false">
      <c r="A1" s="10" t="s">
        <v>341</v>
      </c>
      <c r="B1" s="10"/>
      <c r="C1" s="10"/>
      <c r="D1" s="10"/>
      <c r="E1" s="10"/>
      <c r="F1" s="10"/>
    </row>
    <row r="3" customFormat="false" ht="30" hidden="false" customHeight="true" outlineLevel="0" collapsed="false">
      <c r="A3" s="28" t="s">
        <v>342</v>
      </c>
      <c r="B3" s="28"/>
      <c r="C3" s="28"/>
      <c r="D3" s="28"/>
      <c r="E3" s="28"/>
      <c r="F3" s="28"/>
    </row>
    <row r="5" customFormat="false" ht="25.5" hidden="false" customHeight="true" outlineLevel="0" collapsed="false">
      <c r="A5" s="16" t="s">
        <v>343</v>
      </c>
      <c r="B5" s="16" t="s">
        <v>344</v>
      </c>
      <c r="C5" s="16" t="s">
        <v>345</v>
      </c>
      <c r="D5" s="16" t="s">
        <v>34</v>
      </c>
      <c r="E5" s="16" t="s">
        <v>346</v>
      </c>
      <c r="F5" s="16" t="s">
        <v>347</v>
      </c>
    </row>
    <row r="6" customFormat="false" ht="150" hidden="false" customHeight="true" outlineLevel="0" collapsed="false">
      <c r="A6" s="45" t="n">
        <v>1</v>
      </c>
      <c r="B6" s="46" t="s">
        <v>348</v>
      </c>
      <c r="C6" s="47" t="s">
        <v>349</v>
      </c>
      <c r="D6" s="48" t="s">
        <v>350</v>
      </c>
      <c r="E6" s="23"/>
      <c r="F6" s="24"/>
    </row>
    <row r="7" customFormat="false" ht="75.75" hidden="false" customHeight="true" outlineLevel="0" collapsed="false">
      <c r="A7" s="45" t="n">
        <v>2</v>
      </c>
      <c r="B7" s="46" t="s">
        <v>351</v>
      </c>
      <c r="C7" s="47" t="s">
        <v>352</v>
      </c>
      <c r="D7" s="48" t="s">
        <v>353</v>
      </c>
      <c r="E7" s="23"/>
      <c r="F7" s="24"/>
    </row>
    <row r="8" customFormat="false" ht="61.5" hidden="false" customHeight="true" outlineLevel="0" collapsed="false">
      <c r="A8" s="45" t="n">
        <v>3</v>
      </c>
      <c r="B8" s="46" t="s">
        <v>354</v>
      </c>
      <c r="C8" s="47" t="s">
        <v>355</v>
      </c>
      <c r="D8" s="48" t="s">
        <v>356</v>
      </c>
      <c r="E8" s="23"/>
      <c r="F8" s="24"/>
    </row>
    <row r="9" customFormat="false" ht="75.75" hidden="false" customHeight="true" outlineLevel="0" collapsed="false">
      <c r="A9" s="45" t="n">
        <v>4</v>
      </c>
      <c r="B9" s="46" t="s">
        <v>357</v>
      </c>
      <c r="C9" s="47" t="s">
        <v>358</v>
      </c>
      <c r="D9" s="48" t="s">
        <v>359</v>
      </c>
      <c r="E9" s="23"/>
      <c r="F9" s="24"/>
    </row>
    <row r="10" customFormat="false" ht="61.5" hidden="false" customHeight="true" outlineLevel="0" collapsed="false">
      <c r="A10" s="45" t="n">
        <v>5</v>
      </c>
      <c r="B10" s="46" t="s">
        <v>360</v>
      </c>
      <c r="C10" s="47" t="s">
        <v>361</v>
      </c>
      <c r="D10" s="48" t="s">
        <v>362</v>
      </c>
      <c r="E10" s="23"/>
      <c r="F10" s="24"/>
    </row>
    <row r="11" customFormat="false" ht="61.5" hidden="false" customHeight="true" outlineLevel="0" collapsed="false">
      <c r="A11" s="45" t="n">
        <v>6</v>
      </c>
      <c r="B11" s="46" t="s">
        <v>363</v>
      </c>
      <c r="C11" s="47" t="s">
        <v>364</v>
      </c>
      <c r="D11" s="48" t="s">
        <v>365</v>
      </c>
      <c r="E11" s="23"/>
      <c r="F11" s="24"/>
    </row>
    <row r="12" customFormat="false" ht="75.75" hidden="false" customHeight="true" outlineLevel="0" collapsed="false">
      <c r="A12" s="45" t="n">
        <v>7</v>
      </c>
      <c r="B12" s="46" t="s">
        <v>366</v>
      </c>
      <c r="C12" s="47" t="s">
        <v>367</v>
      </c>
      <c r="D12" s="48" t="s">
        <v>368</v>
      </c>
      <c r="E12" s="23"/>
      <c r="F12" s="24"/>
    </row>
    <row r="13" customFormat="false" ht="75.75" hidden="false" customHeight="true" outlineLevel="0" collapsed="false">
      <c r="A13" s="45" t="n">
        <v>8</v>
      </c>
      <c r="B13" s="46" t="s">
        <v>369</v>
      </c>
      <c r="C13" s="47" t="s">
        <v>370</v>
      </c>
      <c r="D13" s="48" t="s">
        <v>371</v>
      </c>
      <c r="E13" s="23"/>
      <c r="F13" s="24"/>
    </row>
    <row r="15" customFormat="false" ht="15" hidden="false" customHeight="true" outlineLevel="0" collapsed="false">
      <c r="B15" s="11" t="s">
        <v>372</v>
      </c>
    </row>
    <row r="16" customFormat="false" ht="43.5" hidden="false" customHeight="true" outlineLevel="0" collapsed="false">
      <c r="B16" s="49" t="s">
        <v>373</v>
      </c>
      <c r="C16" s="49"/>
      <c r="D16" s="49"/>
    </row>
    <row r="18" customFormat="false" ht="15" hidden="false" customHeight="true" outlineLevel="0" collapsed="false">
      <c r="B18" s="50" t="s">
        <v>374</v>
      </c>
    </row>
  </sheetData>
  <mergeCells count="3">
    <mergeCell ref="A1:F1"/>
    <mergeCell ref="A3:F3"/>
    <mergeCell ref="B16:D16"/>
  </mergeCells>
  <conditionalFormatting sqref="E6:E13">
    <cfRule type="expression" priority="2" aboveAverage="0" equalAverage="0" bottom="0" percent="0" rank="0" text="" dxfId="13">
      <formula>$E6="Sí"</formula>
    </cfRule>
  </conditionalFormatting>
  <dataValidations count="1">
    <dataValidation allowBlank="true" errorStyle="stop" operator="between" showDropDown="false" showErrorMessage="false" showInputMessage="false" sqref="E6:E13" type="list">
      <formula1>"Sí,No,Todavía 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4"/>
    <col collapsed="false" customWidth="true" hidden="false" outlineLevel="0" max="3" min="3" style="1" width="56"/>
    <col collapsed="false" customWidth="true" hidden="false" outlineLevel="0" max="4" min="4" style="1" width="40"/>
    <col collapsed="false" customWidth="true" hidden="false" outlineLevel="0" max="5" min="5" style="1" width="13"/>
    <col collapsed="false" customWidth="true" hidden="false" outlineLevel="0" max="6" min="6" style="1" width="32"/>
  </cols>
  <sheetData>
    <row r="1" customFormat="false" ht="27.75" hidden="false" customHeight="true" outlineLevel="0" collapsed="false">
      <c r="A1" s="10" t="s">
        <v>375</v>
      </c>
      <c r="B1" s="10"/>
      <c r="C1" s="10"/>
      <c r="D1" s="10"/>
      <c r="E1" s="10"/>
      <c r="F1" s="10"/>
    </row>
    <row r="3" customFormat="false" ht="31.5" hidden="false" customHeight="true" outlineLevel="0" collapsed="false">
      <c r="A3" s="28" t="s">
        <v>376</v>
      </c>
      <c r="B3" s="28"/>
      <c r="C3" s="28"/>
      <c r="D3" s="28"/>
      <c r="E3" s="28"/>
      <c r="F3" s="28"/>
    </row>
    <row r="5" customFormat="false" ht="25.5" hidden="false" customHeight="true" outlineLevel="0" collapsed="false">
      <c r="A5" s="16" t="s">
        <v>343</v>
      </c>
      <c r="B5" s="16" t="s">
        <v>377</v>
      </c>
      <c r="C5" s="16" t="s">
        <v>378</v>
      </c>
      <c r="D5" s="16" t="s">
        <v>34</v>
      </c>
      <c r="E5" s="16" t="s">
        <v>379</v>
      </c>
      <c r="F5" s="16" t="s">
        <v>380</v>
      </c>
    </row>
    <row r="6" customFormat="false" ht="43.5" hidden="false" customHeight="true" outlineLevel="0" collapsed="false">
      <c r="A6" s="18" t="n">
        <v>1</v>
      </c>
      <c r="B6" s="51" t="s">
        <v>381</v>
      </c>
      <c r="C6" s="21" t="s">
        <v>382</v>
      </c>
      <c r="D6" s="22" t="s">
        <v>383</v>
      </c>
      <c r="E6" s="23"/>
      <c r="F6" s="24"/>
    </row>
    <row r="7" customFormat="false" ht="43.5" hidden="false" customHeight="true" outlineLevel="0" collapsed="false">
      <c r="A7" s="18" t="n">
        <v>2</v>
      </c>
      <c r="B7" s="51" t="s">
        <v>384</v>
      </c>
      <c r="C7" s="21" t="s">
        <v>385</v>
      </c>
      <c r="D7" s="22" t="s">
        <v>386</v>
      </c>
      <c r="E7" s="23"/>
      <c r="F7" s="24"/>
    </row>
    <row r="8" customFormat="false" ht="43.5" hidden="false" customHeight="true" outlineLevel="0" collapsed="false">
      <c r="A8" s="18" t="n">
        <v>3</v>
      </c>
      <c r="B8" s="51" t="s">
        <v>387</v>
      </c>
      <c r="C8" s="21" t="s">
        <v>388</v>
      </c>
      <c r="D8" s="22" t="s">
        <v>389</v>
      </c>
      <c r="E8" s="23"/>
      <c r="F8" s="24"/>
    </row>
    <row r="9" customFormat="false" ht="43.5" hidden="false" customHeight="true" outlineLevel="0" collapsed="false">
      <c r="A9" s="18" t="n">
        <v>4</v>
      </c>
      <c r="B9" s="51" t="s">
        <v>390</v>
      </c>
      <c r="C9" s="21" t="s">
        <v>391</v>
      </c>
      <c r="D9" s="22" t="s">
        <v>392</v>
      </c>
      <c r="E9" s="23"/>
      <c r="F9" s="24"/>
    </row>
    <row r="10" customFormat="false" ht="43.5" hidden="false" customHeight="true" outlineLevel="0" collapsed="false">
      <c r="A10" s="18" t="n">
        <v>5</v>
      </c>
      <c r="B10" s="51" t="s">
        <v>393</v>
      </c>
      <c r="C10" s="21" t="s">
        <v>394</v>
      </c>
      <c r="D10" s="22" t="s">
        <v>395</v>
      </c>
      <c r="E10" s="23"/>
      <c r="F10" s="24"/>
    </row>
    <row r="11" customFormat="false" ht="43.5" hidden="false" customHeight="true" outlineLevel="0" collapsed="false">
      <c r="A11" s="18" t="n">
        <v>6</v>
      </c>
      <c r="B11" s="51" t="s">
        <v>396</v>
      </c>
      <c r="C11" s="21" t="s">
        <v>397</v>
      </c>
      <c r="D11" s="22" t="s">
        <v>398</v>
      </c>
      <c r="E11" s="23"/>
      <c r="F11" s="24"/>
    </row>
    <row r="12" customFormat="false" ht="43.5" hidden="false" customHeight="true" outlineLevel="0" collapsed="false">
      <c r="A12" s="18" t="n">
        <v>7</v>
      </c>
      <c r="B12" s="51" t="s">
        <v>399</v>
      </c>
      <c r="C12" s="21" t="s">
        <v>400</v>
      </c>
      <c r="D12" s="22" t="s">
        <v>401</v>
      </c>
      <c r="E12" s="23"/>
      <c r="F12" s="24"/>
    </row>
    <row r="13" customFormat="false" ht="43.5" hidden="false" customHeight="true" outlineLevel="0" collapsed="false">
      <c r="A13" s="18" t="n">
        <v>8</v>
      </c>
      <c r="B13" s="51" t="s">
        <v>402</v>
      </c>
      <c r="C13" s="21" t="s">
        <v>403</v>
      </c>
      <c r="D13" s="22" t="s">
        <v>404</v>
      </c>
      <c r="E13" s="23"/>
      <c r="F13" s="24"/>
    </row>
    <row r="14" customFormat="false" ht="43.5" hidden="false" customHeight="true" outlineLevel="0" collapsed="false">
      <c r="A14" s="18" t="n">
        <v>9</v>
      </c>
      <c r="B14" s="51" t="s">
        <v>405</v>
      </c>
      <c r="C14" s="21" t="s">
        <v>406</v>
      </c>
      <c r="D14" s="22" t="s">
        <v>407</v>
      </c>
      <c r="E14" s="23"/>
      <c r="F14" s="24"/>
    </row>
    <row r="16" customFormat="false" ht="15" hidden="false" customHeight="true" outlineLevel="0" collapsed="false">
      <c r="B16" s="14" t="s">
        <v>408</v>
      </c>
    </row>
    <row r="17" customFormat="false" ht="42" hidden="false" customHeight="true" outlineLevel="0" collapsed="false">
      <c r="B17" s="52" t="s">
        <v>409</v>
      </c>
      <c r="C17" s="52"/>
      <c r="D17" s="52"/>
    </row>
  </sheetData>
  <mergeCells count="3">
    <mergeCell ref="A1:F1"/>
    <mergeCell ref="A3:F3"/>
    <mergeCell ref="B17:D17"/>
  </mergeCells>
  <conditionalFormatting sqref="E6:E14">
    <cfRule type="expression" priority="2" aboveAverage="0" equalAverage="0" bottom="0" percent="0" rank="0" text="" dxfId="13">
      <formula>$E6="No"</formula>
    </cfRule>
    <cfRule type="expression" priority="3" aboveAverage="0" equalAverage="0" bottom="0" percent="0" rank="0" text="" dxfId="14">
      <formula>$E6="Sí"</formula>
    </cfRule>
    <cfRule type="expression" priority="4" aboveAverage="0" equalAverage="0" bottom="0" percent="0" rank="0" text="" dxfId="15">
      <formula>$E6="Parcial"</formula>
    </cfRule>
  </conditionalFormatting>
  <dataValidations count="1">
    <dataValidation allowBlank="true" errorStyle="stop" operator="between" showDropDown="false" showErrorMessage="false" showInputMessage="false" sqref="E6:E14" type="list">
      <formula1>"Sí,Parcial,No,No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40"/>
    <col collapsed="false" customWidth="true" hidden="false" outlineLevel="0" max="4" min="3" style="1" width="14"/>
    <col collapsed="false" customWidth="true" hidden="false" outlineLevel="0" max="5" min="5" style="1" width="46"/>
  </cols>
  <sheetData>
    <row r="1" customFormat="false" ht="27.75" hidden="false" customHeight="true" outlineLevel="0" collapsed="false">
      <c r="A1" s="10" t="s">
        <v>410</v>
      </c>
      <c r="B1" s="10"/>
      <c r="C1" s="10"/>
      <c r="D1" s="10"/>
      <c r="E1" s="10"/>
    </row>
    <row r="3" customFormat="false" ht="15" hidden="false" customHeight="true" outlineLevel="0" collapsed="false">
      <c r="B3" s="53" t="s">
        <v>411</v>
      </c>
      <c r="C3" s="53"/>
      <c r="D3" s="53"/>
      <c r="E3" s="53"/>
    </row>
    <row r="5" customFormat="false" ht="15" hidden="false" customHeight="true" outlineLevel="0" collapsed="false">
      <c r="B5" s="11" t="s">
        <v>412</v>
      </c>
    </row>
    <row r="6" customFormat="false" ht="24" hidden="false" customHeight="true" outlineLevel="0" collapsed="false">
      <c r="B6" s="54" t="s">
        <v>413</v>
      </c>
      <c r="C6" s="55" t="n">
        <f aca="false">COUNTIF(Instrumento!$B$6:$B$116,"Sí")</f>
        <v>20</v>
      </c>
      <c r="E6" s="56" t="s">
        <v>414</v>
      </c>
    </row>
    <row r="7" customFormat="false" ht="18" hidden="false" customHeight="true" outlineLevel="0" collapsed="false">
      <c r="B7" s="31" t="s">
        <v>415</v>
      </c>
      <c r="C7" s="57" t="n">
        <f aca="false">COUNTIFS(Instrumento!$B$6:$B$116,"Sí",Instrumento!$H$6:$H$116,"No aplica")</f>
        <v>0</v>
      </c>
      <c r="E7" s="56" t="s">
        <v>416</v>
      </c>
    </row>
    <row r="8" customFormat="false" ht="18" hidden="false" customHeight="true" outlineLevel="0" collapsed="false">
      <c r="B8" s="31" t="s">
        <v>417</v>
      </c>
      <c r="C8" s="57" t="n">
        <f aca="false">C6-C7</f>
        <v>20</v>
      </c>
      <c r="E8" s="56" t="s">
        <v>418</v>
      </c>
    </row>
    <row r="9" customFormat="false" ht="18" hidden="false" customHeight="true" outlineLevel="0" collapsed="false">
      <c r="B9" s="31" t="s">
        <v>419</v>
      </c>
      <c r="C9" s="57" t="n">
        <f aca="false">COUNTIFS(Instrumento!$B$6:$B$116,"Sí",Instrumento!$H$6:$H$116,"Sí")</f>
        <v>0</v>
      </c>
      <c r="E9" s="56"/>
    </row>
    <row r="10" customFormat="false" ht="18" hidden="false" customHeight="true" outlineLevel="0" collapsed="false">
      <c r="B10" s="31" t="s">
        <v>420</v>
      </c>
      <c r="C10" s="57" t="n">
        <f aca="false">COUNTIFS(Instrumento!$B$6:$B$116,"Sí",Instrumento!$H$6:$H$116,"Parcial")</f>
        <v>0</v>
      </c>
      <c r="E10" s="56" t="s">
        <v>421</v>
      </c>
    </row>
    <row r="11" customFormat="false" ht="18" hidden="false" customHeight="true" outlineLevel="0" collapsed="false">
      <c r="B11" s="31" t="s">
        <v>422</v>
      </c>
      <c r="C11" s="57" t="n">
        <f aca="false">COUNTIFS(Instrumento!$B$6:$B$116,"Sí",Instrumento!$H$6:$H$116,"No")</f>
        <v>0</v>
      </c>
      <c r="E11" s="56" t="s">
        <v>423</v>
      </c>
    </row>
    <row r="12" customFormat="false" ht="18" hidden="false" customHeight="true" outlineLevel="0" collapsed="false">
      <c r="B12" s="31" t="s">
        <v>424</v>
      </c>
      <c r="C12" s="57" t="n">
        <f aca="false">C8-C9-C10-C11</f>
        <v>20</v>
      </c>
      <c r="E12" s="56" t="s">
        <v>425</v>
      </c>
    </row>
    <row r="14" customFormat="false" ht="33.75" hidden="false" customHeight="true" outlineLevel="0" collapsed="false">
      <c r="B14" s="54" t="s">
        <v>426</v>
      </c>
      <c r="C14" s="58" t="n">
        <f aca="false">IF(C8=0,0,(C9+C10*0.5)/C8)</f>
        <v>0</v>
      </c>
      <c r="E14" s="56" t="s">
        <v>427</v>
      </c>
    </row>
    <row r="16" customFormat="false" ht="30" hidden="false" customHeight="true" outlineLevel="0" collapsed="false">
      <c r="B16" s="59" t="str">
        <f aca="false">IF(C12&gt;0,"Contesta primero los "&amp;C12&amp;" renglones que faltan",IF(C14&gt;=0.9,"VERDE · expediente defendible. Falta poco.",IF(C14&gt;=0.6,"ÁMBAR · el expediente existe pero tiene huecos. Ciérralos antes del 30 de noviembre.","ROJO · el expediente no resiste una verificación. Es tu primer proyecto, antes del manual.")))</f>
        <v>Contesta primero los 20 renglones que faltan</v>
      </c>
      <c r="C16" s="59"/>
      <c r="D16" s="59"/>
      <c r="E16" s="59"/>
    </row>
    <row r="18" customFormat="false" ht="15" hidden="false" customHeight="true" outlineLevel="0" collapsed="false">
      <c r="B18" s="11" t="s">
        <v>428</v>
      </c>
    </row>
    <row r="19" customFormat="false" ht="15" hidden="false" customHeight="true" outlineLevel="0" collapsed="false">
      <c r="B19" s="60" t="s">
        <v>32</v>
      </c>
      <c r="C19" s="60" t="s">
        <v>429</v>
      </c>
      <c r="D19" s="60" t="s">
        <v>430</v>
      </c>
      <c r="E19" s="60" t="s">
        <v>431</v>
      </c>
    </row>
    <row r="20" customFormat="false" ht="15" hidden="false" customHeight="true" outlineLevel="0" collapsed="false">
      <c r="B20" s="61" t="s">
        <v>40</v>
      </c>
      <c r="C20" s="62" t="n">
        <f aca="false">COUNTIFS(Instrumento!$B$6:$B$116,"Sí",Instrumento!$D$6:$D$116,"Dato")</f>
        <v>13</v>
      </c>
      <c r="D20" s="62" t="n">
        <f aca="false">COUNTIFS(Instrumento!$B$6:$B$116,"Sí",Instrumento!$D$6:$D$116,"Dato",Instrumento!$H$6:$H$116,"Sí")</f>
        <v>0</v>
      </c>
      <c r="E20" s="63" t="n">
        <f aca="false">IF(C20=0,"—",D20/C20)</f>
        <v>0</v>
      </c>
    </row>
    <row r="21" customFormat="false" ht="15" hidden="false" customHeight="true" outlineLevel="0" collapsed="false">
      <c r="B21" s="61" t="s">
        <v>74</v>
      </c>
      <c r="C21" s="62" t="n">
        <f aca="false">COUNTIFS(Instrumento!$B$6:$B$116,"Sí",Instrumento!$D$6:$D$116,"Documento")</f>
        <v>6</v>
      </c>
      <c r="D21" s="62" t="n">
        <f aca="false">COUNTIFS(Instrumento!$B$6:$B$116,"Sí",Instrumento!$D$6:$D$116,"Documento",Instrumento!$H$6:$H$116,"Sí")</f>
        <v>0</v>
      </c>
      <c r="E21" s="63" t="n">
        <f aca="false">IF(C21=0,"—",D21/C21)</f>
        <v>0</v>
      </c>
    </row>
    <row r="22" customFormat="false" ht="15" hidden="false" customHeight="true" outlineLevel="0" collapsed="false">
      <c r="B22" s="61" t="s">
        <v>89</v>
      </c>
      <c r="C22" s="62" t="n">
        <f aca="false">COUNTIFS(Instrumento!$B$6:$B$116,"Sí",Instrumento!$D$6:$D$116,"Constancia")</f>
        <v>1</v>
      </c>
      <c r="D22" s="62" t="n">
        <f aca="false">COUNTIFS(Instrumento!$B$6:$B$116,"Sí",Instrumento!$D$6:$D$116,"Constancia",Instrumento!$H$6:$H$116,"Sí")</f>
        <v>0</v>
      </c>
      <c r="E22" s="63" t="n">
        <f aca="false">IF(C22=0,"—",D22/C22)</f>
        <v>0</v>
      </c>
    </row>
    <row r="24" customFormat="false" ht="15" hidden="false" customHeight="true" outlineLevel="0" collapsed="false">
      <c r="B24" s="11" t="s">
        <v>432</v>
      </c>
    </row>
    <row r="25" customFormat="false" ht="16.5" hidden="false" customHeight="true" outlineLevel="0" collapsed="false">
      <c r="B25" s="64" t="s">
        <v>433</v>
      </c>
      <c r="C25" s="64"/>
      <c r="D25" s="64"/>
      <c r="E25" s="64"/>
    </row>
    <row r="26" customFormat="false" ht="16.5" hidden="false" customHeight="true" outlineLevel="0" collapsed="false">
      <c r="B26" s="64" t="s">
        <v>434</v>
      </c>
      <c r="C26" s="64"/>
      <c r="D26" s="64"/>
      <c r="E26" s="64"/>
    </row>
    <row r="27" customFormat="false" ht="16.5" hidden="false" customHeight="true" outlineLevel="0" collapsed="false">
      <c r="B27" s="64" t="s">
        <v>435</v>
      </c>
      <c r="C27" s="64"/>
      <c r="D27" s="64"/>
      <c r="E27" s="64"/>
    </row>
    <row r="28" customFormat="false" ht="16.5" hidden="false" customHeight="true" outlineLevel="0" collapsed="false">
      <c r="B28" s="64" t="s">
        <v>436</v>
      </c>
      <c r="C28" s="64"/>
      <c r="D28" s="64"/>
      <c r="E28" s="64"/>
    </row>
  </sheetData>
  <mergeCells count="7">
    <mergeCell ref="A1:E1"/>
    <mergeCell ref="B3:E3"/>
    <mergeCell ref="B16:E16"/>
    <mergeCell ref="B25:E25"/>
    <mergeCell ref="B26:E26"/>
    <mergeCell ref="B27:E27"/>
    <mergeCell ref="B28:E28"/>
  </mergeCells>
  <conditionalFormatting sqref="B16:E16">
    <cfRule type="expression" priority="2" aboveAverage="0" equalAverage="0" bottom="0" percent="0" rank="0" text="" dxfId="16">
      <formula>$C$14&gt;=0.9</formula>
    </cfRule>
    <cfRule type="expression" priority="3" aboveAverage="0" equalAverage="0" bottom="0" percent="0" rank="0" text="" dxfId="17">
      <formula>AND($C$14&gt;=0.6,$C$14&lt;0.9)</formula>
    </cfRule>
    <cfRule type="expression" priority="4" aboveAverage="0" equalAverage="0" bottom="0" percent="0" rank="0" text="" dxfId="18">
      <formula>$C$14&lt;0.6</formula>
    </cfRule>
  </conditionalFormatting>
  <conditionalFormatting sqref="E20:E22">
    <cfRule type="dataBar" priority="5">
      <dataBar showValue="1" minLength="10" maxLength="90">
        <cfvo type="num" val="0"/>
        <cfvo type="num" val="1"/>
        <color rgb="FF12224A"/>
      </dataBar>
      <extLst>
        <ext xmlns:x14="http://schemas.microsoft.com/office/spreadsheetml/2009/9/main" uri="{B025F937-C7B1-47D3-B67F-A62EFF666E3E}">
          <x14:id>{D32AE212-FE10-4CF0-90EC-3D48F4509875}</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D32AE212-FE10-4CF0-90EC-3D48F4509875}">
            <x14:dataBar minLength="10" maxLength="90" axisPosition="none" gradient="true">
              <x14:cfvo type="num">
                <xm:f>0</xm:f>
              </x14:cfvo>
              <x14:cfvo type="num">
                <xm:f>1</xm:f>
              </x14:cfvo>
              <x14:negativeFillColor rgb="FF12224A"/>
              <x14:axisColor rgb="FF000000"/>
            </x14:dataBar>
          </x14:cfRule>
          <xm:sqref>E20:E22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2026-08-17T11:23:34Z</dcterms:created>
  <dc:creator>openpyxl</dc:creator>
  <dc:description/>
  <dc:language>en-US</dc:language>
  <cp:lastModifiedBy/>
  <dcterms:modified xsi:type="dcterms:W3CDTF">2026-08-18T05:41:53Z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