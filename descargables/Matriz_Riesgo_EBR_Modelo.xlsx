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ICIO" sheetId="1" state="visible" r:id="rId1"/>
    <sheet xmlns:r="http://schemas.openxmlformats.org/officeDocument/2006/relationships" name="A1 EXPOSICION" sheetId="2" state="visible" r:id="rId2"/>
    <sheet xmlns:r="http://schemas.openxmlformats.org/officeDocument/2006/relationships" name="A2 CONSECUENCIAS" sheetId="3" state="visible" r:id="rId3"/>
    <sheet xmlns:r="http://schemas.openxmlformats.org/officeDocument/2006/relationships" name="A3 INHERENTE" sheetId="4" state="visible" r:id="rId4"/>
    <sheet xmlns:r="http://schemas.openxmlformats.org/officeDocument/2006/relationships" name="A4 CONTROLES MINIMOS" sheetId="5" state="visible" r:id="rId5"/>
    <sheet xmlns:r="http://schemas.openxmlformats.org/officeDocument/2006/relationships" name="A4 BIS ADICIONALES" sheetId="6" state="visible" r:id="rId6"/>
    <sheet xmlns:r="http://schemas.openxmlformats.org/officeDocument/2006/relationships" name="A5 RESIDUAL" sheetId="7" state="visible" r:id="rId7"/>
    <sheet xmlns:r="http://schemas.openxmlformats.org/officeDocument/2006/relationships" name="A6 TABLERO" sheetId="8" state="visible" r:id="rId8"/>
    <sheet xmlns:r="http://schemas.openxmlformats.org/officeDocument/2006/relationships" name="A7 NUEVOS PRODUCTOS" sheetId="9" state="visible" r:id="rId9"/>
    <sheet xmlns:r="http://schemas.openxmlformats.org/officeDocument/2006/relationships" name="A8 TOLERANCIA" sheetId="10" state="visible" r:id="rId10"/>
    <sheet xmlns:r="http://schemas.openxmlformats.org/officeDocument/2006/relationships" name="A9 CONSTANCIA Y FUENTES" sheetId="11" state="visible" r:id="rId11"/>
    <sheet xmlns:r="http://schemas.openxmlformats.org/officeDocument/2006/relationships" name="PRODUCTOS" sheetId="12" state="visible" r:id="rId12"/>
    <sheet xmlns:r="http://schemas.openxmlformats.org/officeDocument/2006/relationships" name="VARIABLES" sheetId="13" state="visible" r:id="rId13"/>
    <sheet xmlns:r="http://schemas.openxmlformats.org/officeDocument/2006/relationships" name="B CLIENTE" sheetId="14" state="visible" r:id="rId14"/>
    <sheet xmlns:r="http://schemas.openxmlformats.org/officeDocument/2006/relationships" name="PARAMETROS" sheetId="15" state="visible" r:id="rId15"/>
    <sheet xmlns:r="http://schemas.openxmlformats.org/officeDocument/2006/relationships" name="CATALOGO" sheetId="16" state="visible" r:id="rId16"/>
    <sheet xmlns:r="http://schemas.openxmlformats.org/officeDocument/2006/relationships" name="BASE" sheetId="17" state="visible" r:id="rId17"/>
  </sheets>
  <definedNames>
    <definedName name="V_F01" hidden="0" function="0" vbProcedure="0">VARIABLES!$E$8:$E$13</definedName>
    <definedName name="V_F02" hidden="0" function="0" vbProcedure="0">VARIABLES!$E$14:$E$20</definedName>
    <definedName name="V_F03" hidden="0" function="0" vbProcedure="0">VARIABLES!$E$21:$E$28</definedName>
    <definedName name="V_F04" hidden="0" function="0" vbProcedure="0">VARIABLES!$E$29:$E$32</definedName>
    <definedName name="V_F05" hidden="0" function="0" vbProcedure="0">VARIABLES!$E$33:$E$37</definedName>
    <definedName name="V_F06" hidden="0" function="0" vbProcedure="0">VARIABLES!$E$38:$E$43</definedName>
    <definedName name="V_F07" hidden="0" function="0" vbProcedure="0">VARIABLES!$E$44:$E$47</definedName>
    <definedName name="V_F08" hidden="0" function="0" vbProcedure="0">VARIABLES!$E$48:$E$52</definedName>
    <definedName name="V_F09" hidden="0" function="0" vbProcedure="0">VARIABLES!$E$53:$E$56</definedName>
    <definedName name="V_F10" hidden="0" function="0" vbProcedure="0">VARIABLES!$E$57:$E$60</definedName>
    <definedName name="V_F11" hidden="0" function="0" vbProcedure="0">PRODUCTOS!$C$8:$C$13</definedName>
    <definedName name="V_F12" hidden="0" function="0" vbProcedure="0">VARIABLES!$E$61:$E$65</definedName>
    <definedName name="V_F13" hidden="0" function="0" vbProcedure="0">VARIABLES!$E$66:$E$70</definedName>
    <definedName name="V_F14" hidden="0" function="0" vbProcedure="0">VARIABLES!$E$71:$E$74</definedName>
    <definedName name="V_F15" hidden="0" function="0" vbProcedure="0">VARIABLES!$E$75:$E$80</definedName>
    <definedName name="V_F16" hidden="0" function="0" vbProcedure="0">VARIABLES!$E$81:$E$84</definedName>
    <definedName name="V_F17" hidden="0" function="0" vbProcedure="0">VARIABLES!$E$85:$E$89</definedName>
    <definedName name="V_F18" hidden="0" function="0" vbProcedure="0">VARIABLES!$E$90:$E$93</definedName>
    <definedName name="V_F19" hidden="0" function="0" vbProcedure="0">VARIABLES!$E$94:$E$98</definedName>
    <definedName name="V_F20" hidden="0" function="0" vbProcedure="0">VARIABLES!$E$99:$E$101</definedName>
    <definedName name="V_F21" hidden="0" function="0" vbProcedure="0">VARIABLES!$E$102:$E$104</definedName>
    <definedName name="V_F22" hidden="0" function="0" vbProcedure="0">VARIABLES!$E$105:$E$107</definedName>
  </definedNames>
  <calcPr calcId="124519" fullCalcOnLoad="1" refMode="A1" iterate="0" iterateCount="100" iterateDelta="0.0001"/>
</workbook>
</file>

<file path=xl/styles.xml><?xml version="1.0" encoding="utf-8"?>
<styleSheet xmlns="http://schemas.openxmlformats.org/spreadsheetml/2006/main">
  <numFmts count="9">
    <numFmt numFmtId="164" formatCode="dd/mm/yyyy"/>
    <numFmt numFmtId="165" formatCode="\$#,##0"/>
    <numFmt numFmtId="166" formatCode="0.0%"/>
    <numFmt numFmtId="167" formatCode="0.0"/>
    <numFmt numFmtId="168" formatCode="0.00000"/>
    <numFmt numFmtId="169" formatCode="yyyy\-mm\-dd"/>
    <numFmt numFmtId="170" formatCode="yyyy\-mm\-dd\ h:mm:ss"/>
    <numFmt numFmtId="171" formatCode="0.000"/>
    <numFmt numFmtId="172" formatCode="0\ %"/>
  </numFmts>
  <fonts count="60">
    <font>
      <name val="Calibri"/>
      <charset val="1"/>
      <family val="2"/>
      <color theme="1"/>
      <sz val="11"/>
    </font>
    <font>
      <name val="Arial"/>
      <family val="0"/>
      <sz val="10"/>
    </font>
    <font>
      <name val="Arial"/>
      <family val="0"/>
      <sz val="10"/>
    </font>
    <font>
      <name val="Arial"/>
      <family val="0"/>
      <sz val="10"/>
    </font>
    <font>
      <name val="Calibri"/>
      <charset val="1"/>
      <family val="0"/>
      <i val="1"/>
      <color rgb="FF595959"/>
      <sz val="9"/>
    </font>
    <font>
      <name val="Arial"/>
      <charset val="1"/>
      <family val="0"/>
      <b val="1"/>
      <color rgb="FF1F4E78"/>
      <sz val="15"/>
    </font>
    <font>
      <name val="Arial"/>
      <charset val="1"/>
      <family val="0"/>
      <i val="1"/>
      <color rgb="FF555555"/>
      <sz val="9"/>
    </font>
    <font>
      <name val="Arial"/>
      <charset val="1"/>
      <family val="0"/>
      <b val="1"/>
      <color rgb="FFC00000"/>
      <sz val="10"/>
    </font>
    <font>
      <name val="Arial"/>
      <charset val="1"/>
      <family val="0"/>
      <i val="1"/>
      <color rgb="FF1F4E79"/>
      <sz val="9"/>
    </font>
    <font>
      <name val="Arial"/>
      <charset val="1"/>
      <family val="0"/>
      <b val="1"/>
      <color rgb="FFFFFFFF"/>
      <sz val="10"/>
    </font>
    <font>
      <name val="Arial"/>
      <charset val="1"/>
      <family val="0"/>
      <sz val="9"/>
    </font>
    <font>
      <name val="Arial"/>
      <charset val="1"/>
      <family val="0"/>
      <color rgb="FF0000FF"/>
      <sz val="10"/>
    </font>
    <font>
      <name val="Arial"/>
      <charset val="1"/>
      <family val="0"/>
      <color rgb="FF006100"/>
      <sz val="10"/>
    </font>
    <font>
      <name val="Arial"/>
      <charset val="1"/>
      <family val="0"/>
      <color rgb="FF000000"/>
      <sz val="10"/>
    </font>
    <font>
      <name val="Arial"/>
      <charset val="1"/>
      <family val="0"/>
      <color rgb="FF0000FF"/>
      <sz val="9"/>
    </font>
    <font>
      <name val="Arial"/>
      <charset val="1"/>
      <family val="0"/>
      <color rgb="FFC00000"/>
      <sz val="9"/>
    </font>
    <font>
      <name val="Arial"/>
      <charset val="1"/>
      <family val="0"/>
      <b val="1"/>
      <color rgb="FF000000"/>
      <sz val="10"/>
    </font>
    <font>
      <name val="Arial"/>
      <charset val="1"/>
      <family val="0"/>
      <b val="1"/>
      <sz val="10"/>
    </font>
    <font>
      <name val="Arial"/>
      <charset val="1"/>
      <family val="0"/>
      <b val="1"/>
      <color rgb="FFFFFFFF"/>
      <sz val="9"/>
    </font>
    <font>
      <name val="Arial"/>
      <charset val="1"/>
      <family val="0"/>
      <sz val="10"/>
    </font>
    <font>
      <name val="Arial"/>
      <charset val="1"/>
      <family val="0"/>
      <b val="1"/>
      <color rgb="FFC00000"/>
      <sz val="9"/>
    </font>
    <font>
      <name val="Arial"/>
      <charset val="1"/>
      <family val="0"/>
      <color rgb="FF555555"/>
      <sz val="9"/>
    </font>
    <font>
      <name val="Calibri"/>
      <charset val="1"/>
      <family val="0"/>
      <color rgb="FFC00000"/>
      <sz val="9"/>
    </font>
    <font>
      <name val="Calibri"/>
      <charset val="1"/>
      <family val="0"/>
      <b val="1"/>
      <color rgb="FF1F4E78"/>
      <sz val="9"/>
    </font>
    <font>
      <name val="Arial"/>
      <charset val="1"/>
      <family val="0"/>
      <b val="1"/>
      <sz val="9"/>
    </font>
    <font>
      <name val="Arial"/>
      <charset val="1"/>
      <family val="0"/>
      <b val="1"/>
      <sz val="8"/>
    </font>
    <font>
      <name val="Arial"/>
      <charset val="1"/>
      <family val="0"/>
      <sz val="8"/>
    </font>
    <font>
      <name val="Arial"/>
      <charset val="1"/>
      <family val="0"/>
      <b val="1"/>
      <color rgb="FF0000FF"/>
      <sz val="9"/>
    </font>
    <font>
      <name val="Arial"/>
      <charset val="1"/>
      <family val="0"/>
      <color rgb="FF0000FF"/>
      <sz val="8"/>
    </font>
    <font>
      <name val="Arial"/>
      <charset val="1"/>
      <family val="0"/>
      <b val="1"/>
      <color rgb="FFFFFFFF"/>
      <sz val="11"/>
    </font>
    <font>
      <name val="Arial"/>
      <charset val="1"/>
      <family val="0"/>
      <b val="1"/>
      <color rgb="FF1F4E78"/>
      <sz val="10"/>
    </font>
    <font>
      <name val="Arial"/>
      <charset val="1"/>
      <family val="0"/>
      <i val="1"/>
      <color rgb="FF595959"/>
      <sz val="8"/>
    </font>
    <font>
      <name val="Arial"/>
      <charset val="1"/>
      <family val="0"/>
      <b val="1"/>
      <color rgb="FF1F4E79"/>
      <sz val="14"/>
    </font>
    <font>
      <name val="Arial"/>
      <charset val="1"/>
      <family val="0"/>
      <i val="1"/>
      <color rgb="FF595959"/>
      <sz val="9"/>
    </font>
    <font>
      <name val="Arial"/>
      <charset val="1"/>
      <family val="0"/>
      <color rgb="FF000000"/>
      <sz val="9"/>
    </font>
    <font>
      <name val="Arial"/>
      <charset val="1"/>
      <family val="0"/>
      <b val="1"/>
      <color rgb="FF1F4E78"/>
      <sz val="11"/>
    </font>
    <font>
      <name val="Arial"/>
      <charset val="1"/>
      <family val="0"/>
      <color rgb="FFBFBFBF"/>
      <sz val="7"/>
    </font>
    <font>
      <name val="Arial"/>
      <charset val="1"/>
      <family val="0"/>
      <b val="1"/>
      <color rgb="FF000000"/>
      <sz val="20"/>
    </font>
    <font>
      <name val="Arial"/>
      <charset val="1"/>
      <family val="0"/>
      <b val="1"/>
      <sz val="12"/>
    </font>
    <font>
      <name val="Arial"/>
      <charset val="1"/>
      <family val="0"/>
      <color rgb="FF555555"/>
      <sz val="8"/>
    </font>
    <font>
      <name val="Georgia"/>
      <charset val="1"/>
      <family val="0"/>
      <b val="1"/>
      <color rgb="FF1F4E78"/>
      <sz val="14"/>
    </font>
    <font>
      <name val="Arial"/>
      <charset val="1"/>
      <family val="0"/>
      <color rgb="FF595959"/>
      <sz val="9"/>
    </font>
    <font>
      <name val="Arial"/>
      <charset val="1"/>
      <family val="0"/>
      <i val="1"/>
      <color rgb="FF808080"/>
      <sz val="9"/>
    </font>
    <font>
      <name val="Arial"/>
      <charset val="1"/>
      <family val="0"/>
      <b val="1"/>
      <color rgb="FF1F4E78"/>
      <sz val="9"/>
    </font>
    <font>
      <name val="Arial"/>
      <charset val="1"/>
      <family val="0"/>
      <b val="1"/>
      <color rgb="FF000000"/>
      <sz val="9"/>
    </font>
    <font>
      <name val="Arial"/>
      <charset val="1"/>
      <family val="0"/>
      <color rgb="FF808080"/>
      <sz val="8"/>
    </font>
    <font>
      <name val="Calibri"/>
      <charset val="1"/>
      <family val="0"/>
      <i val="1"/>
      <color rgb="FF1F4E78"/>
      <sz val="9"/>
    </font>
    <font>
      <name val="Arial"/>
      <charset val="1"/>
      <family val="0"/>
      <b val="1"/>
      <color rgb="FF1F4E78"/>
      <sz val="8"/>
    </font>
    <font>
      <name val="Arial"/>
      <charset val="1"/>
      <family val="0"/>
      <color rgb="FF000000"/>
      <sz val="8"/>
    </font>
    <font>
      <name val="Georgia"/>
      <charset val="1"/>
      <family val="0"/>
      <b val="1"/>
      <color rgb="FF1F4E78"/>
      <sz val="15"/>
    </font>
    <font>
      <name val="Arial"/>
      <charset val="1"/>
      <family val="0"/>
      <i val="1"/>
      <color rgb="FF1F4E78"/>
      <sz val="8"/>
    </font>
    <font>
      <name val="Arial"/>
      <charset val="1"/>
      <family val="0"/>
      <color rgb="FF1F4E78"/>
      <sz val="8"/>
    </font>
    <font>
      <name val="Arial"/>
      <charset val="1"/>
      <family val="0"/>
      <color rgb="FF2E75B6"/>
      <sz val="8"/>
    </font>
    <font>
      <name val="Arial"/>
      <charset val="1"/>
      <family val="0"/>
      <i val="1"/>
      <color rgb="FF808080"/>
      <sz val="8"/>
    </font>
    <font>
      <name val="Arial"/>
      <charset val="1"/>
      <family val="0"/>
      <color rgb="FFC00000"/>
      <sz val="8"/>
    </font>
    <font>
      <name val="Arial"/>
      <charset val="1"/>
      <family val="0"/>
      <b val="1"/>
      <color rgb="FF1F4E78"/>
      <sz val="12"/>
    </font>
    <font>
      <name val="Georgia"/>
      <charset val="1"/>
      <family val="0"/>
      <b val="1"/>
      <color rgb="FFFFFFFF"/>
      <sz val="12"/>
    </font>
    <font>
      <name val="Georgia"/>
      <charset val="1"/>
      <family val="0"/>
      <b val="1"/>
      <color rgb="FF1F4E78"/>
      <sz val="22"/>
    </font>
    <font>
      <name val="Arial"/>
      <charset val="1"/>
      <family val="0"/>
      <color rgb="FF008000"/>
      <sz val="10"/>
    </font>
    <font>
      <name val="Arial"/>
      <charset val="1"/>
      <family val="0"/>
      <b val="1"/>
      <color rgb="FFC00000"/>
      <sz val="11"/>
    </font>
  </fonts>
  <fills count="17">
    <fill>
      <patternFill/>
    </fill>
    <fill>
      <patternFill patternType="gray125"/>
    </fill>
    <fill>
      <patternFill patternType="solid">
        <fgColor rgb="FF1F4E78"/>
        <bgColor rgb="FF1F4E79"/>
      </patternFill>
    </fill>
    <fill>
      <patternFill patternType="solid">
        <fgColor rgb="FFFFF2CC"/>
        <bgColor rgb="FFFDF2F2"/>
      </patternFill>
    </fill>
    <fill>
      <patternFill patternType="solid">
        <fgColor rgb="FF1F4E79"/>
        <bgColor rgb="FF1F4E78"/>
      </patternFill>
    </fill>
    <fill>
      <patternFill patternType="solid">
        <fgColor rgb="FFBDD7EE"/>
        <bgColor rgb="FFC6EFCE"/>
      </patternFill>
    </fill>
    <fill>
      <patternFill patternType="solid">
        <fgColor rgb="FFFFFFFF"/>
        <bgColor rgb="FFF2F5F9"/>
      </patternFill>
    </fill>
    <fill>
      <patternFill patternType="solid">
        <fgColor rgb="FFF2F2F2"/>
        <bgColor rgb="FFF2F5F9"/>
      </patternFill>
    </fill>
    <fill>
      <patternFill patternType="solid">
        <fgColor rgb="FF63BE7B"/>
        <bgColor rgb="FF339966"/>
      </patternFill>
    </fill>
    <fill>
      <patternFill patternType="solid">
        <fgColor rgb="FFFFD966"/>
        <bgColor rgb="FFFFE699"/>
      </patternFill>
    </fill>
    <fill>
      <patternFill patternType="solid">
        <fgColor rgb="FFF4B183"/>
        <bgColor rgb="FFF2A541"/>
      </patternFill>
    </fill>
    <fill>
      <patternFill patternType="solid">
        <fgColor rgb="FFFF7C80"/>
        <bgColor rgb="FFF2A541"/>
      </patternFill>
    </fill>
    <fill>
      <patternFill patternType="solid">
        <fgColor rgb="FFA9D08E"/>
        <bgColor rgb="FFBFBFBF"/>
      </patternFill>
    </fill>
    <fill>
      <patternFill patternType="solid">
        <fgColor rgb="FF2E75B6"/>
        <bgColor rgb="FF0066CC"/>
      </patternFill>
    </fill>
    <fill>
      <patternFill patternType="solid">
        <fgColor rgb="FFDDEBF7"/>
        <bgColor rgb="FFF2F2F2"/>
      </patternFill>
    </fill>
    <fill>
      <patternFill patternType="solid">
        <fgColor rgb="FFF2F5F9"/>
        <bgColor rgb="FFF2F2F2"/>
      </patternFill>
    </fill>
    <fill>
      <patternFill patternType="solid">
        <fgColor rgb="FFFDF2F2"/>
        <bgColor rgb="FFF2F2F2"/>
      </patternFill>
    </fill>
  </fills>
  <borders count="12">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4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8" fillId="0" borderId="0" applyAlignment="1" pivotButton="0" quotePrefix="0" xfId="0">
      <alignment horizontal="general" vertical="bottom"/>
    </xf>
    <xf numFmtId="0" fontId="9" fillId="2" borderId="1" applyAlignment="1" pivotButton="0" quotePrefix="0" xfId="0">
      <alignment horizontal="center" vertical="center" wrapText="1"/>
    </xf>
    <xf numFmtId="0" fontId="10" fillId="0" borderId="1" applyAlignment="1" pivotButton="0" quotePrefix="0" xfId="0">
      <alignment horizontal="general" vertical="center" indent="1"/>
    </xf>
    <xf numFmtId="0" fontId="10" fillId="0" borderId="0" applyAlignment="1" pivotButton="0" quotePrefix="0" xfId="0">
      <alignment horizontal="general" vertical="center" indent="1"/>
    </xf>
    <xf numFmtId="0" fontId="11" fillId="3" borderId="1" applyAlignment="1" pivotButton="0" quotePrefix="0" xfId="0">
      <alignment horizontal="left" vertical="center"/>
    </xf>
    <xf numFmtId="0" fontId="12" fillId="0" borderId="1" applyAlignment="1" pivotButton="0" quotePrefix="0" xfId="0">
      <alignment horizontal="left" vertical="center"/>
    </xf>
    <xf numFmtId="0" fontId="13" fillId="0" borderId="1" applyAlignment="1" pivotButton="0" quotePrefix="0" xfId="0">
      <alignment horizontal="left" vertical="center"/>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6" fillId="0" borderId="1" applyAlignment="1" pivotButton="0" quotePrefix="0" xfId="0">
      <alignment horizontal="left" vertical="center" wrapText="1"/>
    </xf>
    <xf numFmtId="0" fontId="12" fillId="0" borderId="1" applyAlignment="1" pivotButton="0" quotePrefix="0" xfId="0">
      <alignment horizontal="general" vertical="bottom"/>
    </xf>
    <xf numFmtId="3" fontId="12" fillId="0" borderId="1" applyAlignment="1" pivotButton="0" quotePrefix="0" xfId="0">
      <alignment horizontal="general" vertical="bottom"/>
    </xf>
    <xf numFmtId="4" fontId="12" fillId="0" borderId="1" applyAlignment="1" pivotButton="0" quotePrefix="0" xfId="0">
      <alignment horizontal="general" vertical="bottom"/>
    </xf>
    <xf numFmtId="164" fontId="11" fillId="3" borderId="1" applyAlignment="1" pivotButton="0" quotePrefix="0" xfId="0">
      <alignment horizontal="left" vertical="center"/>
    </xf>
    <xf numFmtId="3" fontId="11" fillId="3" borderId="1" applyAlignment="1" pivotButton="0" quotePrefix="0" xfId="0">
      <alignment horizontal="center" vertical="center" wrapText="1"/>
    </xf>
    <xf numFmtId="165" fontId="11" fillId="3" borderId="1" applyAlignment="1" pivotButton="0" quotePrefix="0" xfId="0">
      <alignment horizontal="center" vertical="center" wrapText="1"/>
    </xf>
    <xf numFmtId="0" fontId="6" fillId="0" borderId="0" applyAlignment="1" pivotButton="0" quotePrefix="0" xfId="0">
      <alignment horizontal="left" vertical="center"/>
    </xf>
    <xf numFmtId="0" fontId="17" fillId="0" borderId="0" applyAlignment="1" pivotButton="0" quotePrefix="0" xfId="0">
      <alignment horizontal="general" vertical="bottom"/>
    </xf>
    <xf numFmtId="0" fontId="18" fillId="4" borderId="1" applyAlignment="1" pivotButton="0" quotePrefix="0" xfId="0">
      <alignment horizontal="general" vertical="bottom"/>
    </xf>
    <xf numFmtId="0" fontId="19" fillId="0" borderId="0" applyAlignment="1" pivotButton="0" quotePrefix="0" xfId="0">
      <alignment horizontal="general" vertical="bottom"/>
    </xf>
    <xf numFmtId="1" fontId="17" fillId="0" borderId="1" applyAlignment="1" pivotButton="0" quotePrefix="0" xfId="0">
      <alignment horizontal="center" vertical="center"/>
    </xf>
    <xf numFmtId="0" fontId="17" fillId="0" borderId="1" applyAlignment="1" pivotButton="0" quotePrefix="0" xfId="0">
      <alignment horizontal="center" vertical="center"/>
    </xf>
    <xf numFmtId="9" fontId="17" fillId="0" borderId="1" applyAlignment="1" pivotButton="0" quotePrefix="0" xfId="0">
      <alignment horizontal="center" vertical="center"/>
    </xf>
    <xf numFmtId="0" fontId="20" fillId="0" borderId="0" applyAlignment="1" pivotButton="0" quotePrefix="0" xfId="0">
      <alignment horizontal="general" vertical="top" wrapText="1"/>
    </xf>
    <xf numFmtId="0" fontId="5" fillId="0" borderId="0" applyAlignment="1" pivotButton="0" quotePrefix="0" xfId="0">
      <alignment horizontal="general" vertical="bottom"/>
    </xf>
    <xf numFmtId="0" fontId="21" fillId="0" borderId="0" applyAlignment="1" pivotButton="0" quotePrefix="0" xfId="0">
      <alignment horizontal="general" vertical="center"/>
    </xf>
    <xf numFmtId="0" fontId="22" fillId="0" borderId="0" applyAlignment="1" pivotButton="0" quotePrefix="0" xfId="0">
      <alignment horizontal="left" vertical="center"/>
    </xf>
    <xf numFmtId="0" fontId="23" fillId="0" borderId="0" applyAlignment="1" pivotButton="0" quotePrefix="0" xfId="0">
      <alignment horizontal="left" vertical="center"/>
    </xf>
    <xf numFmtId="0" fontId="24" fillId="5" borderId="1" applyAlignment="1" pivotButton="0" quotePrefix="0" xfId="0">
      <alignment horizontal="center" vertical="top"/>
    </xf>
    <xf numFmtId="0" fontId="25" fillId="0" borderId="1" applyAlignment="1" pivotButton="0" quotePrefix="0" xfId="0">
      <alignment horizontal="center" vertical="top"/>
    </xf>
    <xf numFmtId="0" fontId="10" fillId="0" borderId="1" applyAlignment="1" pivotButton="0" quotePrefix="0" xfId="0">
      <alignment horizontal="left" vertical="top" wrapText="1"/>
    </xf>
    <xf numFmtId="0" fontId="26" fillId="0" borderId="1" applyAlignment="1" pivotButton="0" quotePrefix="0" xfId="0">
      <alignment horizontal="center" vertical="top"/>
    </xf>
    <xf numFmtId="0" fontId="27" fillId="3" borderId="1" applyAlignment="1" pivotButton="0" quotePrefix="0" xfId="0">
      <alignment horizontal="center" vertical="top"/>
    </xf>
    <xf numFmtId="0" fontId="26" fillId="0" borderId="1" applyAlignment="1" pivotButton="0" quotePrefix="0" xfId="0">
      <alignment horizontal="left" vertical="top" wrapText="1"/>
    </xf>
    <xf numFmtId="9" fontId="11" fillId="3" borderId="1" applyAlignment="1" pivotButton="0" quotePrefix="0" xfId="0">
      <alignment horizontal="center" vertical="top"/>
    </xf>
    <xf numFmtId="9" fontId="10" fillId="0" borderId="1" applyAlignment="1" pivotButton="0" quotePrefix="0" xfId="0">
      <alignment horizontal="center" vertical="top"/>
    </xf>
    <xf numFmtId="0" fontId="10" fillId="0" borderId="1" applyAlignment="1" pivotButton="0" quotePrefix="0" xfId="0">
      <alignment horizontal="center" vertical="top"/>
    </xf>
    <xf numFmtId="0" fontId="28" fillId="6" borderId="1" applyAlignment="1" pivotButton="0" quotePrefix="0" xfId="0">
      <alignment horizontal="general" vertical="top" wrapText="1"/>
    </xf>
    <xf numFmtId="0" fontId="25" fillId="7" borderId="1" applyAlignment="1" pivotButton="0" quotePrefix="0" xfId="0">
      <alignment horizontal="center" vertical="top"/>
    </xf>
    <xf numFmtId="0" fontId="27" fillId="7" borderId="1" applyAlignment="1" pivotButton="0" quotePrefix="0" xfId="0">
      <alignment horizontal="center" vertical="top"/>
    </xf>
    <xf numFmtId="0" fontId="25" fillId="3" borderId="1" applyAlignment="1" pivotButton="0" quotePrefix="0" xfId="0">
      <alignment horizontal="center" vertical="top"/>
    </xf>
    <xf numFmtId="0" fontId="29" fillId="2" borderId="0" applyAlignment="1" pivotButton="0" quotePrefix="0" xfId="0">
      <alignment horizontal="left" vertical="center"/>
    </xf>
    <xf numFmtId="0" fontId="24" fillId="0" borderId="1" applyAlignment="1" pivotButton="0" quotePrefix="0" xfId="0">
      <alignment horizontal="left" vertical="center"/>
    </xf>
    <xf numFmtId="9" fontId="11" fillId="3" borderId="1" applyAlignment="1" pivotButton="0" quotePrefix="0" xfId="0">
      <alignment horizontal="center" vertical="center"/>
    </xf>
    <xf numFmtId="2" fontId="10" fillId="0" borderId="1" applyAlignment="1" pivotButton="0" quotePrefix="0" xfId="0">
      <alignment horizontal="center" vertical="center"/>
    </xf>
    <xf numFmtId="0" fontId="10" fillId="0" borderId="1" applyAlignment="1" pivotButton="0" quotePrefix="0" xfId="0">
      <alignment horizontal="center" vertical="center"/>
    </xf>
    <xf numFmtId="0" fontId="10" fillId="0" borderId="1" applyAlignment="1" pivotButton="0" quotePrefix="0" xfId="0">
      <alignment horizontal="center" vertical="center"/>
    </xf>
    <xf numFmtId="0" fontId="10" fillId="0" borderId="1" applyAlignment="1" pivotButton="0" quotePrefix="0" xfId="0">
      <alignment horizontal="left" vertical="center" wrapText="1"/>
    </xf>
    <xf numFmtId="0" fontId="28" fillId="3" borderId="1" applyAlignment="1" pivotButton="0" quotePrefix="0" xfId="0">
      <alignment horizontal="general" vertical="top" wrapText="1"/>
    </xf>
    <xf numFmtId="0" fontId="30" fillId="5" borderId="1" applyAlignment="1" pivotButton="0" quotePrefix="0" xfId="0">
      <alignment horizontal="left" vertical="center"/>
    </xf>
    <xf numFmtId="9" fontId="24" fillId="5" borderId="1" applyAlignment="1" pivotButton="0" quotePrefix="0" xfId="0">
      <alignment horizontal="center" vertical="center"/>
    </xf>
    <xf numFmtId="2" fontId="24" fillId="5" borderId="1" applyAlignment="1" pivotButton="0" quotePrefix="0" xfId="0">
      <alignment horizontal="center" vertical="center"/>
    </xf>
    <xf numFmtId="0" fontId="24" fillId="5" borderId="1" applyAlignment="1" pivotButton="0" quotePrefix="0" xfId="0">
      <alignment horizontal="center" vertical="center"/>
    </xf>
    <xf numFmtId="0" fontId="24" fillId="5" borderId="1" applyAlignment="1" pivotButton="0" quotePrefix="0" xfId="0">
      <alignment horizontal="center" vertical="center"/>
    </xf>
    <xf numFmtId="0" fontId="24" fillId="5" borderId="1" applyAlignment="1" pivotButton="0" quotePrefix="0" xfId="0">
      <alignment horizontal="left" vertical="center" wrapText="1"/>
    </xf>
    <xf numFmtId="0" fontId="24" fillId="0" borderId="1" applyAlignment="1" pivotButton="0" quotePrefix="0" xfId="0">
      <alignment horizontal="left" vertical="center" wrapText="1"/>
    </xf>
    <xf numFmtId="0" fontId="21" fillId="0" borderId="0" applyAlignment="1" pivotButton="0" quotePrefix="0" xfId="0">
      <alignment horizontal="general" vertical="bottom"/>
    </xf>
    <xf numFmtId="0" fontId="24" fillId="0" borderId="0" applyAlignment="1" pivotButton="0" quotePrefix="0" xfId="0">
      <alignment horizontal="general" vertical="bottom"/>
    </xf>
    <xf numFmtId="0" fontId="10" fillId="0" borderId="0" applyAlignment="1" pivotButton="0" quotePrefix="0" xfId="0">
      <alignment horizontal="general" vertical="bottom"/>
    </xf>
    <xf numFmtId="0" fontId="11" fillId="3" borderId="1" applyAlignment="1" pivotButton="0" quotePrefix="0" xfId="0">
      <alignment horizontal="general" vertical="top" wrapText="1"/>
    </xf>
    <xf numFmtId="0" fontId="11" fillId="3" borderId="1" applyAlignment="1" pivotButton="0" quotePrefix="0" xfId="0">
      <alignment horizontal="center" vertical="center" wrapText="1"/>
    </xf>
    <xf numFmtId="0" fontId="19" fillId="0" borderId="0" applyAlignment="1" pivotButton="0" quotePrefix="0" xfId="0">
      <alignment horizontal="general" vertical="bottom"/>
    </xf>
    <xf numFmtId="0" fontId="21" fillId="0" borderId="0" applyAlignment="1" pivotButton="0" quotePrefix="0" xfId="0">
      <alignment horizontal="left" vertical="top" wrapText="1"/>
    </xf>
    <xf numFmtId="0" fontId="10" fillId="0" borderId="1" applyAlignment="1" pivotButton="0" quotePrefix="0" xfId="0">
      <alignment horizontal="left" vertical="center"/>
    </xf>
    <xf numFmtId="2" fontId="24" fillId="0" borderId="1" applyAlignment="1" pivotButton="0" quotePrefix="0" xfId="0">
      <alignment horizontal="center" vertical="center"/>
    </xf>
    <xf numFmtId="0" fontId="24" fillId="0" borderId="1" applyAlignment="1" pivotButton="0" quotePrefix="0" xfId="0">
      <alignment horizontal="center" vertical="center"/>
    </xf>
    <xf numFmtId="0" fontId="24" fillId="5" borderId="1" applyAlignment="1" pivotButton="0" quotePrefix="0" xfId="0">
      <alignment horizontal="left" vertical="center"/>
    </xf>
    <xf numFmtId="0" fontId="31" fillId="0" borderId="0" applyAlignment="1" pivotButton="0" quotePrefix="0" xfId="0">
      <alignment horizontal="general" vertical="top" wrapText="1"/>
    </xf>
    <xf numFmtId="0" fontId="24" fillId="0" borderId="1" applyAlignment="1" pivotButton="0" quotePrefix="0" xfId="0">
      <alignment horizontal="center" vertical="bottom"/>
    </xf>
    <xf numFmtId="0" fontId="10" fillId="8" borderId="1" applyAlignment="1" pivotButton="0" quotePrefix="0" xfId="0">
      <alignment horizontal="center" vertical="bottom"/>
    </xf>
    <xf numFmtId="0" fontId="10" fillId="9" borderId="1" applyAlignment="1" pivotButton="0" quotePrefix="0" xfId="0">
      <alignment horizontal="center" vertical="bottom"/>
    </xf>
    <xf numFmtId="0" fontId="10" fillId="10" borderId="1" applyAlignment="1" pivotButton="0" quotePrefix="0" xfId="0">
      <alignment horizontal="center" vertical="bottom"/>
    </xf>
    <xf numFmtId="0" fontId="10" fillId="11" borderId="1" applyAlignment="1" pivotButton="0" quotePrefix="0" xfId="0">
      <alignment horizontal="center" vertical="bottom"/>
    </xf>
    <xf numFmtId="0" fontId="10" fillId="12" borderId="1" applyAlignment="1" pivotButton="0" quotePrefix="0" xfId="0">
      <alignment horizontal="center" vertical="bottom"/>
    </xf>
    <xf numFmtId="0" fontId="24" fillId="0" borderId="0" applyAlignment="1" pivotButton="0" quotePrefix="0" xfId="0">
      <alignment horizontal="general" vertical="bottom"/>
    </xf>
    <xf numFmtId="0" fontId="24" fillId="0" borderId="0" applyAlignment="1" pivotButton="0" quotePrefix="0" xfId="0">
      <alignment horizontal="center" vertical="bottom"/>
    </xf>
    <xf numFmtId="0" fontId="32" fillId="0" borderId="0" applyAlignment="1" pivotButton="0" quotePrefix="0" xfId="0">
      <alignment horizontal="general" vertical="bottom"/>
    </xf>
    <xf numFmtId="0" fontId="33" fillId="0" borderId="0" applyAlignment="1" pivotButton="0" quotePrefix="0" xfId="0">
      <alignment horizontal="general" vertical="top" wrapText="1"/>
    </xf>
    <xf numFmtId="0" fontId="18" fillId="4" borderId="1" applyAlignment="1" pivotButton="0" quotePrefix="0" xfId="0">
      <alignment horizontal="center" vertical="center" wrapText="1"/>
    </xf>
    <xf numFmtId="0" fontId="17" fillId="0" borderId="1" applyAlignment="1" pivotButton="0" quotePrefix="0" xfId="0">
      <alignment horizontal="center" vertical="center" wrapText="1"/>
    </xf>
    <xf numFmtId="0" fontId="10" fillId="7" borderId="1" applyAlignment="1" pivotButton="0" quotePrefix="0" xfId="0">
      <alignment horizontal="general" vertical="top" wrapText="1"/>
    </xf>
    <xf numFmtId="0" fontId="10" fillId="7" borderId="1" applyAlignment="1" pivotButton="0" quotePrefix="0" xfId="0">
      <alignment horizontal="center" vertical="center" wrapText="1"/>
    </xf>
    <xf numFmtId="0" fontId="14" fillId="3" borderId="1" applyAlignment="1" pivotButton="0" quotePrefix="0" xfId="0">
      <alignment horizontal="general" vertical="top" wrapText="1"/>
    </xf>
    <xf numFmtId="9" fontId="17" fillId="0" borderId="1" applyAlignment="1" pivotButton="0" quotePrefix="0" xfId="0">
      <alignment horizontal="center" vertical="center" wrapText="1"/>
    </xf>
    <xf numFmtId="0" fontId="20" fillId="0" borderId="1" applyAlignment="1" pivotButton="0" quotePrefix="0" xfId="0">
      <alignment horizontal="general" vertical="top" wrapText="1"/>
    </xf>
    <xf numFmtId="1" fontId="17" fillId="5" borderId="1" applyAlignment="1" pivotButton="0" quotePrefix="0" xfId="0">
      <alignment horizontal="center" vertical="center" wrapText="1"/>
    </xf>
    <xf numFmtId="2" fontId="17" fillId="5" borderId="1" applyAlignment="1" pivotButton="0" quotePrefix="0" xfId="0">
      <alignment horizontal="center" vertical="center" wrapText="1"/>
    </xf>
    <xf numFmtId="166" fontId="17" fillId="5" borderId="1" applyAlignment="1" pivotButton="0" quotePrefix="0" xfId="0">
      <alignment horizontal="center" vertical="center" wrapText="1"/>
    </xf>
    <xf numFmtId="9" fontId="17" fillId="5" borderId="1" applyAlignment="1" pivotButton="0" quotePrefix="0" xfId="0">
      <alignment horizontal="center" vertical="center" wrapText="1"/>
    </xf>
    <xf numFmtId="1" fontId="17" fillId="3" borderId="1" applyAlignment="1" pivotButton="0" quotePrefix="0" xfId="0">
      <alignment horizontal="center" vertical="center" wrapText="1"/>
    </xf>
    <xf numFmtId="0" fontId="32" fillId="0" borderId="0" applyAlignment="1" pivotButton="0" quotePrefix="0" xfId="0">
      <alignment horizontal="left" vertical="center"/>
    </xf>
    <xf numFmtId="0" fontId="21" fillId="0" borderId="0" applyAlignment="1" pivotButton="0" quotePrefix="0" xfId="0">
      <alignment horizontal="general" vertical="top" wrapText="1"/>
    </xf>
    <xf numFmtId="0" fontId="34" fillId="0" borderId="1" applyAlignment="1" pivotButton="0" quotePrefix="0" xfId="0">
      <alignment horizontal="center" vertical="center" wrapText="1"/>
    </xf>
    <xf numFmtId="9" fontId="24" fillId="0" borderId="1" applyAlignment="1" pivotButton="0" quotePrefix="0" xfId="0">
      <alignment horizontal="center" vertical="center"/>
    </xf>
    <xf numFmtId="0" fontId="28" fillId="3" borderId="1" applyAlignment="1" pivotButton="0" quotePrefix="0" xfId="0">
      <alignment horizontal="left" vertical="top" wrapText="1"/>
    </xf>
    <xf numFmtId="0" fontId="11" fillId="3" borderId="1" applyAlignment="1" pivotButton="0" quotePrefix="0" xfId="0">
      <alignment horizontal="left" vertical="top" wrapText="1"/>
    </xf>
    <xf numFmtId="0" fontId="17" fillId="2" borderId="0" applyAlignment="1" pivotButton="0" quotePrefix="0" xfId="0">
      <alignment horizontal="left" vertical="center"/>
    </xf>
    <xf numFmtId="0" fontId="31" fillId="0" borderId="0" applyAlignment="1" pivotButton="0" quotePrefix="0" xfId="0">
      <alignment horizontal="general" vertical="top" wrapText="1"/>
    </xf>
    <xf numFmtId="0" fontId="10" fillId="0" borderId="0" applyAlignment="1" pivotButton="0" quotePrefix="0" xfId="0">
      <alignment horizontal="general" vertical="center"/>
    </xf>
    <xf numFmtId="0" fontId="24" fillId="0" borderId="0" applyAlignment="1" pivotButton="0" quotePrefix="0" xfId="0">
      <alignment horizontal="general" vertical="center"/>
    </xf>
    <xf numFmtId="9" fontId="35" fillId="5" borderId="1" applyAlignment="1" pivotButton="0" quotePrefix="0" xfId="0">
      <alignment horizontal="center" vertical="center"/>
    </xf>
    <xf numFmtId="167" fontId="16" fillId="0" borderId="0" applyAlignment="1" pivotButton="0" quotePrefix="0" xfId="0">
      <alignment horizontal="center" vertical="center" wrapText="1"/>
    </xf>
    <xf numFmtId="0" fontId="10" fillId="0" borderId="0" applyAlignment="1" pivotButton="0" quotePrefix="0" xfId="0">
      <alignment horizontal="left" vertical="center"/>
    </xf>
    <xf numFmtId="166" fontId="24" fillId="0" borderId="1" applyAlignment="1" pivotButton="0" quotePrefix="0" xfId="0">
      <alignment horizontal="center" vertical="center"/>
    </xf>
    <xf numFmtId="0" fontId="24" fillId="0" borderId="0" applyAlignment="1" pivotButton="0" quotePrefix="0" xfId="0">
      <alignment horizontal="left" vertical="center"/>
    </xf>
    <xf numFmtId="0" fontId="17" fillId="5" borderId="1" applyAlignment="1" pivotButton="0" quotePrefix="0" xfId="0">
      <alignment horizontal="center" vertical="center"/>
    </xf>
    <xf numFmtId="2" fontId="17" fillId="5" borderId="1" applyAlignment="1" pivotButton="0" quotePrefix="0" xfId="0">
      <alignment horizontal="center" vertical="center"/>
    </xf>
    <xf numFmtId="9" fontId="17" fillId="5" borderId="1" applyAlignment="1" pivotButton="0" quotePrefix="0" xfId="0">
      <alignment horizontal="center" vertical="center"/>
    </xf>
    <xf numFmtId="0" fontId="10" fillId="5" borderId="1" applyAlignment="1" pivotButton="0" quotePrefix="0" xfId="0">
      <alignment horizontal="left" vertical="center"/>
    </xf>
    <xf numFmtId="168" fontId="36" fillId="0" borderId="1" applyAlignment="1" pivotButton="0" quotePrefix="0" xfId="0">
      <alignment horizontal="center" vertical="center"/>
    </xf>
    <xf numFmtId="0" fontId="12" fillId="0" borderId="1" applyAlignment="1" pivotButton="0" quotePrefix="0" xfId="0">
      <alignment horizontal="left" vertical="center" wrapText="1"/>
    </xf>
    <xf numFmtId="164" fontId="12" fillId="0" borderId="1" applyAlignment="1" pivotButton="0" quotePrefix="0" xfId="0">
      <alignment horizontal="left" vertical="center" wrapText="1"/>
    </xf>
    <xf numFmtId="0" fontId="37" fillId="0" borderId="1" applyAlignment="1" pivotButton="0" quotePrefix="0" xfId="0">
      <alignment horizontal="center" vertical="center" wrapText="1"/>
    </xf>
    <xf numFmtId="0" fontId="9" fillId="13" borderId="1" applyAlignment="1" pivotButton="0" quotePrefix="0" xfId="0">
      <alignment horizontal="center" vertical="center" wrapText="1"/>
    </xf>
    <xf numFmtId="0" fontId="13"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24" fillId="0" borderId="0" applyAlignment="1" pivotButton="0" quotePrefix="0" xfId="0">
      <alignment horizontal="general" vertical="center" wrapText="1"/>
    </xf>
    <xf numFmtId="0" fontId="10" fillId="0" borderId="0" applyAlignment="1" pivotButton="0" quotePrefix="0" xfId="0">
      <alignment horizontal="general" vertical="center" wrapText="1"/>
    </xf>
    <xf numFmtId="166" fontId="17" fillId="5" borderId="1" applyAlignment="1" pivotButton="0" quotePrefix="0" xfId="0">
      <alignment horizontal="center" vertical="center"/>
    </xf>
    <xf numFmtId="1" fontId="17" fillId="5" borderId="1" applyAlignment="1" pivotButton="0" quotePrefix="0" xfId="0">
      <alignment horizontal="center" vertical="center"/>
    </xf>
    <xf numFmtId="0" fontId="10" fillId="3" borderId="1" applyAlignment="1" pivotButton="0" quotePrefix="0" xfId="0">
      <alignment horizontal="general" vertical="top" wrapText="1"/>
    </xf>
    <xf numFmtId="169" fontId="10" fillId="3" borderId="1" applyAlignment="1" pivotButton="0" quotePrefix="0" xfId="0">
      <alignment horizontal="center" vertical="top"/>
    </xf>
    <xf numFmtId="0" fontId="10" fillId="3" borderId="1" applyAlignment="1" pivotButton="0" quotePrefix="0" xfId="0">
      <alignment horizontal="center" vertical="top"/>
    </xf>
    <xf numFmtId="0" fontId="10" fillId="3" borderId="1" applyAlignment="1" pivotButton="0" quotePrefix="0" xfId="0">
      <alignment horizontal="left" vertical="top"/>
    </xf>
    <xf numFmtId="170" fontId="10" fillId="3" borderId="1" applyAlignment="1" pivotButton="0" quotePrefix="0" xfId="0">
      <alignment horizontal="center" vertical="top"/>
    </xf>
    <xf numFmtId="0" fontId="10" fillId="3" borderId="1" applyAlignment="1" pivotButton="0" quotePrefix="0" xfId="0">
      <alignment horizontal="left" vertical="top" wrapText="1"/>
    </xf>
    <xf numFmtId="164" fontId="24" fillId="0" borderId="1" applyAlignment="1" pivotButton="0" quotePrefix="0" xfId="0">
      <alignment horizontal="center" vertical="center"/>
    </xf>
    <xf numFmtId="0" fontId="24" fillId="0" borderId="2" applyAlignment="1" pivotButton="0" quotePrefix="0" xfId="0">
      <alignment horizontal="left" vertical="center" wrapText="1"/>
    </xf>
    <xf numFmtId="0" fontId="24" fillId="0" borderId="0" applyAlignment="1" pivotButton="0" quotePrefix="0" xfId="0">
      <alignment horizontal="general" vertical="center"/>
    </xf>
    <xf numFmtId="0" fontId="38" fillId="0" borderId="1" applyAlignment="1" pivotButton="0" quotePrefix="0" xfId="0">
      <alignment horizontal="center" vertical="center"/>
    </xf>
    <xf numFmtId="0" fontId="10" fillId="0" borderId="0" applyAlignment="1" pivotButton="0" quotePrefix="0" xfId="0">
      <alignment horizontal="general" vertical="center"/>
    </xf>
    <xf numFmtId="0" fontId="14" fillId="3" borderId="1" applyAlignment="1" pivotButton="0" quotePrefix="0" xfId="0">
      <alignment horizontal="center" vertical="center"/>
    </xf>
    <xf numFmtId="164" fontId="14" fillId="3" borderId="1" applyAlignment="1" pivotButton="0" quotePrefix="0" xfId="0">
      <alignment horizontal="center" vertical="center"/>
    </xf>
    <xf numFmtId="0" fontId="10" fillId="0" borderId="0" applyAlignment="1" pivotButton="0" quotePrefix="0" xfId="0">
      <alignment horizontal="left" vertical="center" wrapText="1"/>
    </xf>
    <xf numFmtId="3" fontId="24" fillId="0" borderId="1" applyAlignment="1" pivotButton="0" quotePrefix="0" xfId="0">
      <alignment horizontal="center" vertical="center"/>
    </xf>
    <xf numFmtId="3" fontId="14" fillId="3" borderId="1" applyAlignment="1" pivotButton="0" quotePrefix="0" xfId="0">
      <alignment horizontal="center" vertical="center"/>
    </xf>
    <xf numFmtId="165" fontId="24" fillId="0" borderId="1" applyAlignment="1" pivotButton="0" quotePrefix="0" xfId="0">
      <alignment horizontal="center" vertical="center"/>
    </xf>
    <xf numFmtId="165" fontId="14" fillId="3" borderId="1" applyAlignment="1" pivotButton="0" quotePrefix="0" xfId="0">
      <alignment horizontal="center" vertical="center"/>
    </xf>
    <xf numFmtId="0" fontId="14" fillId="3" borderId="1" applyAlignment="1" pivotButton="0" quotePrefix="0" xfId="0">
      <alignment horizontal="left" vertical="center" wrapText="1"/>
    </xf>
    <xf numFmtId="0" fontId="26" fillId="0" borderId="1" applyAlignment="1" pivotButton="0" quotePrefix="0" xfId="0">
      <alignment horizontal="left" vertical="center" wrapText="1"/>
    </xf>
    <xf numFmtId="0" fontId="39" fillId="0" borderId="1" applyAlignment="1" pivotButton="0" quotePrefix="0" xfId="0">
      <alignment horizontal="center" vertical="center" wrapText="1"/>
    </xf>
    <xf numFmtId="0" fontId="14" fillId="3" borderId="1" applyAlignment="1" pivotButton="0" quotePrefix="0" xfId="0">
      <alignment horizontal="center" vertical="center" wrapText="1"/>
    </xf>
    <xf numFmtId="0" fontId="17" fillId="3" borderId="1" applyAlignment="1" pivotButton="0" quotePrefix="0" xfId="0">
      <alignment horizontal="center" vertical="center"/>
    </xf>
    <xf numFmtId="0" fontId="19" fillId="3" borderId="1" applyAlignment="1" pivotButton="0" quotePrefix="0" xfId="0">
      <alignment horizontal="center" vertical="center"/>
    </xf>
    <xf numFmtId="164" fontId="11" fillId="3" borderId="1" applyAlignment="1" pivotButton="0" quotePrefix="0" xfId="0">
      <alignment horizontal="center" vertical="center"/>
    </xf>
    <xf numFmtId="0" fontId="20" fillId="3" borderId="1" applyAlignment="1" pivotButton="0" quotePrefix="0" xfId="0">
      <alignment horizontal="general" vertical="top" wrapText="1"/>
    </xf>
    <xf numFmtId="0" fontId="11" fillId="3" borderId="1" applyAlignment="1" pivotButton="0" quotePrefix="0" xfId="0">
      <alignment horizontal="general" vertical="bottom"/>
    </xf>
    <xf numFmtId="0" fontId="40" fillId="0" borderId="0" applyAlignment="1" pivotButton="0" quotePrefix="0" xfId="0">
      <alignment horizontal="general" vertical="bottom"/>
    </xf>
    <xf numFmtId="0" fontId="41" fillId="0" borderId="0" applyAlignment="1" pivotButton="0" quotePrefix="0" xfId="0">
      <alignment horizontal="general" vertical="bottom"/>
    </xf>
    <xf numFmtId="0" fontId="42" fillId="0" borderId="0" applyAlignment="1" pivotButton="0" quotePrefix="0" xfId="0">
      <alignment horizontal="general" vertical="bottom"/>
    </xf>
    <xf numFmtId="0" fontId="9" fillId="2" borderId="0" applyAlignment="1" pivotButton="0" quotePrefix="0" xfId="0">
      <alignment horizontal="general" vertical="center" indent="1"/>
    </xf>
    <xf numFmtId="0" fontId="18" fillId="13" borderId="1" applyAlignment="1" pivotButton="0" quotePrefix="0" xfId="0">
      <alignment horizontal="center" vertical="center"/>
    </xf>
    <xf numFmtId="0" fontId="43" fillId="0" borderId="1" applyAlignment="1" pivotButton="0" quotePrefix="0" xfId="0">
      <alignment horizontal="center" vertical="center"/>
    </xf>
    <xf numFmtId="0" fontId="34" fillId="0" borderId="1" applyAlignment="1" pivotButton="0" quotePrefix="0" xfId="0">
      <alignment horizontal="general" vertical="center" indent="1"/>
    </xf>
    <xf numFmtId="2" fontId="44" fillId="0" borderId="1" applyAlignment="1" pivotButton="0" quotePrefix="0" xfId="0">
      <alignment horizontal="center" vertical="center"/>
    </xf>
    <xf numFmtId="0" fontId="43" fillId="0" borderId="0" applyAlignment="1" pivotButton="0" quotePrefix="0" xfId="0">
      <alignment horizontal="general" vertical="bottom"/>
    </xf>
    <xf numFmtId="0" fontId="45" fillId="0" borderId="0" applyAlignment="1" pivotButton="0" quotePrefix="0" xfId="0">
      <alignment horizontal="general" vertical="bottom"/>
    </xf>
    <xf numFmtId="0" fontId="46" fillId="0" borderId="0" applyAlignment="1" pivotButton="0" quotePrefix="0" xfId="0">
      <alignment horizontal="left" vertical="center"/>
    </xf>
    <xf numFmtId="0" fontId="47" fillId="0" borderId="1" applyAlignment="1" pivotButton="0" quotePrefix="0" xfId="0">
      <alignment horizontal="center" vertical="center"/>
    </xf>
    <xf numFmtId="0" fontId="48" fillId="0" borderId="1" applyAlignment="1" pivotButton="0" quotePrefix="0" xfId="0">
      <alignment horizontal="center" vertical="center"/>
    </xf>
    <xf numFmtId="0" fontId="48" fillId="0" borderId="1" applyAlignment="1" pivotButton="0" quotePrefix="0" xfId="0">
      <alignment horizontal="general" vertical="center" indent="1"/>
    </xf>
    <xf numFmtId="0" fontId="45" fillId="0" borderId="1" applyAlignment="1" pivotButton="0" quotePrefix="0" xfId="0">
      <alignment horizontal="general" vertical="center" indent="1"/>
    </xf>
    <xf numFmtId="0" fontId="36" fillId="0" borderId="1" applyAlignment="1" pivotButton="0" quotePrefix="0" xfId="0">
      <alignment horizontal="general" vertical="bottom"/>
    </xf>
    <xf numFmtId="0" fontId="49" fillId="0" borderId="0" applyAlignment="1" pivotButton="0" quotePrefix="0" xfId="0">
      <alignment horizontal="general" vertical="bottom"/>
    </xf>
    <xf numFmtId="0" fontId="13" fillId="0" borderId="0" applyAlignment="1" pivotButton="0" quotePrefix="0" xfId="0">
      <alignment horizontal="general" vertical="center" indent="1"/>
    </xf>
    <xf numFmtId="0" fontId="11" fillId="3" borderId="1" applyAlignment="1" pivotButton="0" quotePrefix="0" xfId="0">
      <alignment horizontal="general" vertical="center" indent="1"/>
    </xf>
    <xf numFmtId="0" fontId="50" fillId="0" borderId="0" applyAlignment="1" pivotButton="0" quotePrefix="0" xfId="0">
      <alignment horizontal="general" vertical="center" indent="1"/>
    </xf>
    <xf numFmtId="0" fontId="51" fillId="0" borderId="1" applyAlignment="1" pivotButton="0" quotePrefix="0" xfId="0">
      <alignment horizontal="center" vertical="center"/>
    </xf>
    <xf numFmtId="0" fontId="14" fillId="3" borderId="1" applyAlignment="1" pivotButton="0" quotePrefix="0" xfId="0">
      <alignment horizontal="general" vertical="center" indent="1"/>
    </xf>
    <xf numFmtId="2" fontId="34" fillId="0" borderId="1" applyAlignment="1" pivotButton="0" quotePrefix="0" xfId="0">
      <alignment horizontal="center" vertical="center"/>
    </xf>
    <xf numFmtId="171" fontId="34" fillId="3" borderId="1" applyAlignment="1" pivotButton="0" quotePrefix="0" xfId="0">
      <alignment horizontal="center" vertical="center"/>
    </xf>
    <xf numFmtId="0" fontId="52" fillId="0" borderId="1" applyAlignment="1" pivotButton="0" quotePrefix="0" xfId="0">
      <alignment horizontal="center" vertical="center"/>
    </xf>
    <xf numFmtId="0" fontId="53" fillId="0" borderId="0" applyAlignment="1" pivotButton="0" quotePrefix="0" xfId="0">
      <alignment horizontal="general" vertical="bottom"/>
    </xf>
    <xf numFmtId="0" fontId="34" fillId="0" borderId="1" applyAlignment="1" pivotButton="0" quotePrefix="0" xfId="0">
      <alignment horizontal="center" vertical="center"/>
    </xf>
    <xf numFmtId="172" fontId="34" fillId="3" borderId="1" applyAlignment="1" pivotButton="0" quotePrefix="0" xfId="0">
      <alignment horizontal="center" vertical="center"/>
    </xf>
    <xf numFmtId="0" fontId="44" fillId="0" borderId="0" applyAlignment="1" pivotButton="0" quotePrefix="0" xfId="0">
      <alignment horizontal="general" vertical="bottom"/>
    </xf>
    <xf numFmtId="172" fontId="43" fillId="0" borderId="0" applyAlignment="1" pivotButton="0" quotePrefix="0" xfId="0">
      <alignment horizontal="center" vertical="center"/>
    </xf>
    <xf numFmtId="0" fontId="44" fillId="0" borderId="0" applyAlignment="1" pivotButton="0" quotePrefix="0" xfId="0">
      <alignment horizontal="center" vertical="center"/>
    </xf>
    <xf numFmtId="0" fontId="20" fillId="0" borderId="0" applyAlignment="1" pivotButton="0" quotePrefix="0" xfId="0">
      <alignment horizontal="general" vertical="bottom"/>
    </xf>
    <xf numFmtId="0" fontId="20" fillId="0" borderId="0" applyAlignment="1" pivotButton="0" quotePrefix="0" xfId="0">
      <alignment horizontal="center" vertical="center"/>
    </xf>
    <xf numFmtId="0" fontId="54" fillId="0" borderId="0" applyAlignment="1" pivotButton="0" quotePrefix="0" xfId="0">
      <alignment horizontal="general" vertical="bottom"/>
    </xf>
    <xf numFmtId="2" fontId="55" fillId="6" borderId="1" applyAlignment="1" pivotButton="0" quotePrefix="0" xfId="0">
      <alignment horizontal="center" vertical="center"/>
    </xf>
    <xf numFmtId="0" fontId="16" fillId="6" borderId="1" applyAlignment="1" pivotButton="0" quotePrefix="0" xfId="0">
      <alignment horizontal="center" vertical="center"/>
    </xf>
    <xf numFmtId="0" fontId="13" fillId="6" borderId="1" applyAlignment="1" pivotButton="0" quotePrefix="0" xfId="0">
      <alignment horizontal="general" vertical="center" indent="1"/>
    </xf>
    <xf numFmtId="0" fontId="56" fillId="2" borderId="0" applyAlignment="1" pivotButton="0" quotePrefix="0" xfId="0">
      <alignment horizontal="center" vertical="center"/>
    </xf>
    <xf numFmtId="0" fontId="57" fillId="14" borderId="0" applyAlignment="1" pivotButton="0" quotePrefix="0" xfId="0">
      <alignment horizontal="center" vertical="center"/>
    </xf>
    <xf numFmtId="0" fontId="41" fillId="0" borderId="0" applyAlignment="1" pivotButton="0" quotePrefix="0" xfId="0">
      <alignment horizontal="general" vertical="top" wrapText="1"/>
    </xf>
    <xf numFmtId="0" fontId="43" fillId="0" borderId="0" applyAlignment="1" pivotButton="0" quotePrefix="0" xfId="0">
      <alignment horizontal="general" vertical="bottom"/>
    </xf>
    <xf numFmtId="0" fontId="43" fillId="0" borderId="1" applyAlignment="1" pivotButton="0" quotePrefix="0" xfId="0">
      <alignment horizontal="general" vertical="center" indent="1"/>
    </xf>
    <xf numFmtId="0" fontId="41" fillId="0" borderId="1" applyAlignment="1" pivotButton="0" quotePrefix="0" xfId="0">
      <alignment horizontal="general" vertical="center" indent="1"/>
    </xf>
    <xf numFmtId="0" fontId="34" fillId="0" borderId="0" applyAlignment="1" pivotButton="0" quotePrefix="0" xfId="0">
      <alignment horizontal="general" vertical="center" indent="1"/>
    </xf>
    <xf numFmtId="0" fontId="58" fillId="6" borderId="1" applyAlignment="1" pivotButton="0" quotePrefix="0" xfId="0">
      <alignment horizontal="general" vertical="center" indent="1"/>
    </xf>
    <xf numFmtId="0" fontId="34" fillId="15" borderId="1" applyAlignment="1" pivotButton="0" quotePrefix="0" xfId="0">
      <alignment horizontal="general" vertical="top" wrapText="1"/>
    </xf>
    <xf numFmtId="0" fontId="0" fillId="3" borderId="1" applyAlignment="1" pivotButton="0" quotePrefix="0" xfId="0">
      <alignment horizontal="center" vertical="center"/>
    </xf>
    <xf numFmtId="0" fontId="30" fillId="0" borderId="0" applyAlignment="1" pivotButton="0" quotePrefix="0" xfId="0">
      <alignment horizontal="general" vertical="center" indent="1"/>
    </xf>
    <xf numFmtId="0" fontId="59" fillId="16" borderId="1" applyAlignment="1" pivotButton="0" quotePrefix="0" xfId="0">
      <alignment horizontal="center" vertical="center"/>
    </xf>
    <xf numFmtId="0" fontId="16" fillId="0" borderId="1" applyAlignment="1" pivotButton="0" quotePrefix="0" xfId="0">
      <alignment horizontal="center" vertical="center" wrapText="1"/>
    </xf>
    <xf numFmtId="0" fontId="34" fillId="0" borderId="1" applyAlignment="1" pivotButton="0" quotePrefix="0" xfId="0">
      <alignment horizontal="left" vertical="center" wrapText="1"/>
    </xf>
    <xf numFmtId="0" fontId="46" fillId="0" borderId="0" applyAlignment="1" pivotButton="0" quotePrefix="0" xfId="0">
      <alignment horizontal="left" vertical="center"/>
    </xf>
    <xf numFmtId="0" fontId="17" fillId="2" borderId="1" applyAlignment="1" pivotButton="0" quotePrefix="0" xfId="0">
      <alignment horizontal="center" vertical="center" wrapText="1"/>
    </xf>
    <xf numFmtId="0" fontId="13" fillId="0" borderId="1" applyAlignment="1" pivotButton="0" quotePrefix="0" xfId="0">
      <alignment horizontal="center" vertical="center" wrapText="1"/>
    </xf>
    <xf numFmtId="0" fontId="13" fillId="8" borderId="1" applyAlignment="1" pivotButton="0" quotePrefix="0" xfId="0">
      <alignment horizontal="left" vertical="center" wrapText="1"/>
    </xf>
    <xf numFmtId="0" fontId="19" fillId="0" borderId="1" applyAlignment="1" pivotButton="0" quotePrefix="0" xfId="0">
      <alignment horizontal="left" vertical="center" wrapText="1"/>
    </xf>
    <xf numFmtId="9" fontId="19" fillId="3" borderId="1" applyAlignment="1" pivotButton="0" quotePrefix="0" xfId="0">
      <alignment horizontal="center" vertical="center"/>
    </xf>
    <xf numFmtId="0" fontId="31" fillId="0" borderId="1" applyAlignment="1" pivotButton="0" quotePrefix="0" xfId="0">
      <alignment horizontal="general" vertical="top" wrapText="1"/>
    </xf>
    <xf numFmtId="0" fontId="13" fillId="12" borderId="1" applyAlignment="1" pivotButton="0" quotePrefix="0" xfId="0">
      <alignment horizontal="left" vertical="center" wrapText="1"/>
    </xf>
    <xf numFmtId="0" fontId="13" fillId="9" borderId="1" applyAlignment="1" pivotButton="0" quotePrefix="0" xfId="0">
      <alignment horizontal="left" vertical="center" wrapText="1"/>
    </xf>
    <xf numFmtId="0" fontId="13" fillId="10" borderId="1" applyAlignment="1" pivotButton="0" quotePrefix="0" xfId="0">
      <alignment horizontal="left" vertical="center" wrapText="1"/>
    </xf>
    <xf numFmtId="0" fontId="13" fillId="11" borderId="1" applyAlignment="1" pivotButton="0" quotePrefix="0" xfId="0">
      <alignment horizontal="left" vertical="center" wrapText="1"/>
    </xf>
    <xf numFmtId="4" fontId="11" fillId="3" borderId="1" applyAlignment="1" pivotButton="0" quotePrefix="0" xfId="0">
      <alignment horizontal="center" vertical="center" wrapText="1"/>
    </xf>
    <xf numFmtId="0" fontId="34" fillId="0" borderId="1" applyAlignment="1" pivotButton="0" quotePrefix="0" xfId="0">
      <alignment horizontal="left" vertical="top" wrapText="1"/>
    </xf>
    <xf numFmtId="3" fontId="34" fillId="0" borderId="1" applyAlignment="1" pivotButton="0" quotePrefix="0" xfId="0">
      <alignment horizontal="center" vertical="center" wrapText="1"/>
    </xf>
    <xf numFmtId="4" fontId="34" fillId="0" borderId="1" applyAlignment="1" pivotButton="0" quotePrefix="0" xfId="0">
      <alignment horizontal="center" vertical="center" wrapText="1"/>
    </xf>
    <xf numFmtId="0" fontId="8" fillId="0" borderId="0" applyAlignment="1" pivotButton="0" quotePrefix="0" xfId="0">
      <alignment horizontal="general" vertical="center"/>
    </xf>
    <xf numFmtId="0" fontId="18" fillId="13" borderId="0" applyAlignment="1" pivotButton="0" quotePrefix="0" xfId="0">
      <alignment horizontal="center" vertical="center"/>
    </xf>
    <xf numFmtId="0" fontId="25" fillId="5" borderId="1" applyAlignment="1" pivotButton="0" quotePrefix="0" xfId="0">
      <alignment horizontal="left" vertical="top" wrapText="1"/>
    </xf>
    <xf numFmtId="0" fontId="25" fillId="0" borderId="1" applyAlignment="1" pivotButton="0" quotePrefix="0" xfId="0">
      <alignment horizontal="center" vertical="top" wrapText="1"/>
    </xf>
    <xf numFmtId="0" fontId="45" fillId="0"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8" fillId="0" borderId="0" applyAlignment="1" pivotButton="0" quotePrefix="0" xfId="0">
      <alignment horizontal="general" vertical="bottom"/>
    </xf>
    <xf numFmtId="0" fontId="9" fillId="2" borderId="1" applyAlignment="1" pivotButton="0" quotePrefix="0" xfId="0">
      <alignment horizontal="center" vertical="center" wrapText="1"/>
    </xf>
    <xf numFmtId="0" fontId="0" fillId="0" borderId="5" pivotButton="0" quotePrefix="0" xfId="0"/>
    <xf numFmtId="0" fontId="0" fillId="0" borderId="6" pivotButton="0" quotePrefix="0" xfId="0"/>
    <xf numFmtId="0" fontId="10" fillId="0" borderId="1" applyAlignment="1" pivotButton="0" quotePrefix="0" xfId="0">
      <alignment horizontal="general" vertical="center" indent="1"/>
    </xf>
    <xf numFmtId="0" fontId="10" fillId="0" borderId="0" applyAlignment="1" pivotButton="0" quotePrefix="0" xfId="0">
      <alignment horizontal="general" vertical="center" indent="1"/>
    </xf>
    <xf numFmtId="0" fontId="11" fillId="3" borderId="1" applyAlignment="1" pivotButton="0" quotePrefix="0" xfId="0">
      <alignment horizontal="left" vertical="center"/>
    </xf>
    <xf numFmtId="0" fontId="12" fillId="0" borderId="1" applyAlignment="1" pivotButton="0" quotePrefix="0" xfId="0">
      <alignment horizontal="left" vertical="center"/>
    </xf>
    <xf numFmtId="0" fontId="13" fillId="0" borderId="1" applyAlignment="1" pivotButton="0" quotePrefix="0" xfId="0">
      <alignment horizontal="left" vertical="center"/>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6" fillId="0" borderId="1" applyAlignment="1" pivotButton="0" quotePrefix="0" xfId="0">
      <alignment horizontal="left" vertical="center" wrapText="1"/>
    </xf>
    <xf numFmtId="0" fontId="12" fillId="0" borderId="1" applyAlignment="1" pivotButton="0" quotePrefix="0" xfId="0">
      <alignment horizontal="general" vertical="bottom"/>
    </xf>
    <xf numFmtId="3" fontId="12" fillId="0" borderId="1" applyAlignment="1" pivotButton="0" quotePrefix="0" xfId="0">
      <alignment horizontal="general" vertical="bottom"/>
    </xf>
    <xf numFmtId="4" fontId="12" fillId="0" borderId="1" applyAlignment="1" pivotButton="0" quotePrefix="0" xfId="0">
      <alignment horizontal="general" vertical="bottom"/>
    </xf>
    <xf numFmtId="164" fontId="11" fillId="3" borderId="1" applyAlignment="1" pivotButton="0" quotePrefix="0" xfId="0">
      <alignment horizontal="left" vertical="center"/>
    </xf>
    <xf numFmtId="3" fontId="11" fillId="3" borderId="1" applyAlignment="1" pivotButton="0" quotePrefix="0" xfId="0">
      <alignment horizontal="center" vertical="center" wrapText="1"/>
    </xf>
    <xf numFmtId="165" fontId="11" fillId="3" borderId="1" applyAlignment="1" pivotButton="0" quotePrefix="0" xfId="0">
      <alignment horizontal="center" vertical="center" wrapText="1"/>
    </xf>
    <xf numFmtId="0" fontId="17" fillId="0" borderId="0" applyAlignment="1" pivotButton="0" quotePrefix="0" xfId="0">
      <alignment horizontal="general" vertical="bottom"/>
    </xf>
    <xf numFmtId="0" fontId="18" fillId="4" borderId="1" applyAlignment="1" pivotButton="0" quotePrefix="0" xfId="0">
      <alignment horizontal="general" vertical="bottom"/>
    </xf>
    <xf numFmtId="0" fontId="19" fillId="0" borderId="0" applyAlignment="1" pivotButton="0" quotePrefix="0" xfId="0">
      <alignment horizontal="general" vertical="bottom"/>
    </xf>
    <xf numFmtId="1" fontId="17" fillId="0" borderId="1" applyAlignment="1" pivotButton="0" quotePrefix="0" xfId="0">
      <alignment horizontal="center" vertical="center"/>
    </xf>
    <xf numFmtId="0" fontId="17" fillId="0" borderId="1" applyAlignment="1" pivotButton="0" quotePrefix="0" xfId="0">
      <alignment horizontal="center" vertical="center"/>
    </xf>
    <xf numFmtId="9" fontId="17" fillId="0" borderId="1" applyAlignment="1" pivotButton="0" quotePrefix="0" xfId="0">
      <alignment horizontal="center" vertical="center"/>
    </xf>
    <xf numFmtId="0" fontId="20" fillId="0" borderId="0" applyAlignment="1" pivotButton="0" quotePrefix="0" xfId="0">
      <alignment horizontal="general" vertical="top" wrapText="1"/>
    </xf>
    <xf numFmtId="0" fontId="5" fillId="0" borderId="0" applyAlignment="1" pivotButton="0" quotePrefix="0" xfId="0">
      <alignment horizontal="general" vertical="bottom"/>
    </xf>
    <xf numFmtId="0" fontId="21" fillId="0" borderId="0" applyAlignment="1" pivotButton="0" quotePrefix="0" xfId="0">
      <alignment horizontal="general" vertical="center"/>
    </xf>
    <xf numFmtId="0" fontId="22" fillId="0" borderId="0" applyAlignment="1" pivotButton="0" quotePrefix="0" xfId="0">
      <alignment horizontal="left" vertical="center"/>
    </xf>
    <xf numFmtId="0" fontId="23" fillId="0" borderId="0" applyAlignment="1" pivotButton="0" quotePrefix="0" xfId="0">
      <alignment horizontal="left" vertical="center"/>
    </xf>
    <xf numFmtId="0" fontId="24" fillId="5" borderId="1" applyAlignment="1" pivotButton="0" quotePrefix="0" xfId="0">
      <alignment horizontal="center" vertical="top"/>
    </xf>
    <xf numFmtId="0" fontId="25" fillId="0" borderId="1" applyAlignment="1" pivotButton="0" quotePrefix="0" xfId="0">
      <alignment horizontal="center" vertical="top"/>
    </xf>
    <xf numFmtId="0" fontId="10" fillId="0" borderId="1" applyAlignment="1" pivotButton="0" quotePrefix="0" xfId="0">
      <alignment horizontal="left" vertical="top" wrapText="1"/>
    </xf>
    <xf numFmtId="0" fontId="26" fillId="0" borderId="1" applyAlignment="1" pivotButton="0" quotePrefix="0" xfId="0">
      <alignment horizontal="center" vertical="top"/>
    </xf>
    <xf numFmtId="0" fontId="27" fillId="3" borderId="1" applyAlignment="1" pivotButton="0" quotePrefix="0" xfId="0">
      <alignment horizontal="center" vertical="top"/>
    </xf>
    <xf numFmtId="0" fontId="26" fillId="0" borderId="1" applyAlignment="1" pivotButton="0" quotePrefix="0" xfId="0">
      <alignment horizontal="left" vertical="top" wrapText="1"/>
    </xf>
    <xf numFmtId="9" fontId="11" fillId="3" borderId="1" applyAlignment="1" pivotButton="0" quotePrefix="0" xfId="0">
      <alignment horizontal="center" vertical="top"/>
    </xf>
    <xf numFmtId="9" fontId="10" fillId="0" borderId="1" applyAlignment="1" pivotButton="0" quotePrefix="0" xfId="0">
      <alignment horizontal="center" vertical="top"/>
    </xf>
    <xf numFmtId="0" fontId="10" fillId="0" borderId="1" applyAlignment="1" pivotButton="0" quotePrefix="0" xfId="0">
      <alignment horizontal="center" vertical="top"/>
    </xf>
    <xf numFmtId="0" fontId="28" fillId="6" borderId="1" applyAlignment="1" pivotButton="0" quotePrefix="0" xfId="0">
      <alignment horizontal="general" vertical="top" wrapText="1"/>
    </xf>
    <xf numFmtId="0" fontId="25" fillId="7" borderId="1" applyAlignment="1" pivotButton="0" quotePrefix="0" xfId="0">
      <alignment horizontal="center" vertical="top"/>
    </xf>
    <xf numFmtId="0" fontId="27" fillId="7" borderId="1" applyAlignment="1" pivotButton="0" quotePrefix="0" xfId="0">
      <alignment horizontal="center" vertical="top"/>
    </xf>
    <xf numFmtId="0" fontId="25" fillId="3" borderId="1" applyAlignment="1" pivotButton="0" quotePrefix="0" xfId="0">
      <alignment horizontal="center" vertical="top"/>
    </xf>
    <xf numFmtId="0" fontId="29" fillId="2" borderId="0" applyAlignment="1" pivotButton="0" quotePrefix="0" xfId="0">
      <alignment horizontal="left" vertical="center"/>
    </xf>
    <xf numFmtId="0" fontId="24" fillId="0" borderId="1" applyAlignment="1" pivotButton="0" quotePrefix="0" xfId="0">
      <alignment horizontal="left" vertical="center"/>
    </xf>
    <xf numFmtId="9" fontId="11" fillId="3" borderId="1" applyAlignment="1" pivotButton="0" quotePrefix="0" xfId="0">
      <alignment horizontal="center" vertical="center"/>
    </xf>
    <xf numFmtId="2" fontId="10" fillId="0" borderId="1" applyAlignment="1" pivotButton="0" quotePrefix="0" xfId="0">
      <alignment horizontal="center" vertical="center"/>
    </xf>
    <xf numFmtId="0" fontId="10" fillId="0" borderId="1" applyAlignment="1" pivotButton="0" quotePrefix="0" xfId="0">
      <alignment horizontal="center" vertical="center"/>
    </xf>
    <xf numFmtId="0" fontId="10" fillId="0" borderId="1" applyAlignment="1" pivotButton="0" quotePrefix="0" xfId="0">
      <alignment horizontal="left" vertical="center" wrapText="1"/>
    </xf>
    <xf numFmtId="0" fontId="28" fillId="3" borderId="1" applyAlignment="1" pivotButton="0" quotePrefix="0" xfId="0">
      <alignment horizontal="general" vertical="top" wrapText="1"/>
    </xf>
    <xf numFmtId="0" fontId="30" fillId="5" borderId="1" applyAlignment="1" pivotButton="0" quotePrefix="0" xfId="0">
      <alignment horizontal="left" vertical="center"/>
    </xf>
    <xf numFmtId="9" fontId="24" fillId="5" borderId="1" applyAlignment="1" pivotButton="0" quotePrefix="0" xfId="0">
      <alignment horizontal="center" vertical="center"/>
    </xf>
    <xf numFmtId="2" fontId="24" fillId="5" borderId="1" applyAlignment="1" pivotButton="0" quotePrefix="0" xfId="0">
      <alignment horizontal="center" vertical="center"/>
    </xf>
    <xf numFmtId="0" fontId="24" fillId="5" borderId="1" applyAlignment="1" pivotButton="0" quotePrefix="0" xfId="0">
      <alignment horizontal="center" vertical="center"/>
    </xf>
    <xf numFmtId="0" fontId="24" fillId="5" borderId="1" applyAlignment="1" pivotButton="0" quotePrefix="0" xfId="0">
      <alignment horizontal="left" vertical="center" wrapText="1"/>
    </xf>
    <xf numFmtId="0" fontId="24" fillId="0" borderId="1" applyAlignment="1" pivotButton="0" quotePrefix="0" xfId="0">
      <alignment horizontal="left" vertical="center" wrapText="1"/>
    </xf>
    <xf numFmtId="0" fontId="21" fillId="0" borderId="0" applyAlignment="1" pivotButton="0" quotePrefix="0" xfId="0">
      <alignment horizontal="general" vertical="bottom"/>
    </xf>
    <xf numFmtId="0" fontId="24" fillId="0" borderId="0" applyAlignment="1" pivotButton="0" quotePrefix="0" xfId="0">
      <alignment horizontal="general" vertical="bottom"/>
    </xf>
    <xf numFmtId="0" fontId="10" fillId="0" borderId="0" applyAlignment="1" pivotButton="0" quotePrefix="0" xfId="0">
      <alignment horizontal="general" vertical="bottom"/>
    </xf>
    <xf numFmtId="0" fontId="11" fillId="3" borderId="1" applyAlignment="1" pivotButton="0" quotePrefix="0" xfId="0">
      <alignment horizontal="general" vertical="top" wrapText="1"/>
    </xf>
    <xf numFmtId="0" fontId="11" fillId="3" borderId="1" applyAlignment="1" pivotButton="0" quotePrefix="0" xfId="0">
      <alignment horizontal="center" vertical="center" wrapText="1"/>
    </xf>
    <xf numFmtId="0" fontId="21" fillId="0" borderId="0" applyAlignment="1" pivotButton="0" quotePrefix="0" xfId="0">
      <alignment horizontal="left" vertical="top" wrapText="1"/>
    </xf>
    <xf numFmtId="0" fontId="10" fillId="0" borderId="1" applyAlignment="1" pivotButton="0" quotePrefix="0" xfId="0">
      <alignment horizontal="left" vertical="center"/>
    </xf>
    <xf numFmtId="2" fontId="24" fillId="0" borderId="1" applyAlignment="1" pivotButton="0" quotePrefix="0" xfId="0">
      <alignment horizontal="center" vertical="center"/>
    </xf>
    <xf numFmtId="0" fontId="24" fillId="0" borderId="1" applyAlignment="1" pivotButton="0" quotePrefix="0" xfId="0">
      <alignment horizontal="center" vertical="center"/>
    </xf>
    <xf numFmtId="0" fontId="24" fillId="5" borderId="1" applyAlignment="1" pivotButton="0" quotePrefix="0" xfId="0">
      <alignment horizontal="left" vertical="center"/>
    </xf>
    <xf numFmtId="0" fontId="31" fillId="0" borderId="0" applyAlignment="1" pivotButton="0" quotePrefix="0" xfId="0">
      <alignment horizontal="general" vertical="top" wrapText="1"/>
    </xf>
    <xf numFmtId="0" fontId="24" fillId="0" borderId="1" applyAlignment="1" pivotButton="0" quotePrefix="0" xfId="0">
      <alignment horizontal="center" vertical="bottom"/>
    </xf>
    <xf numFmtId="0" fontId="10" fillId="8" borderId="1" applyAlignment="1" pivotButton="0" quotePrefix="0" xfId="0">
      <alignment horizontal="center" vertical="bottom"/>
    </xf>
    <xf numFmtId="0" fontId="10" fillId="9" borderId="1" applyAlignment="1" pivotButton="0" quotePrefix="0" xfId="0">
      <alignment horizontal="center" vertical="bottom"/>
    </xf>
    <xf numFmtId="0" fontId="10" fillId="10" borderId="1" applyAlignment="1" pivotButton="0" quotePrefix="0" xfId="0">
      <alignment horizontal="center" vertical="bottom"/>
    </xf>
    <xf numFmtId="0" fontId="10" fillId="11" borderId="1" applyAlignment="1" pivotButton="0" quotePrefix="0" xfId="0">
      <alignment horizontal="center" vertical="bottom"/>
    </xf>
    <xf numFmtId="0" fontId="10" fillId="12" borderId="1" applyAlignment="1" pivotButton="0" quotePrefix="0" xfId="0">
      <alignment horizontal="center" vertical="bottom"/>
    </xf>
    <xf numFmtId="0" fontId="24" fillId="0" borderId="0" applyAlignment="1" pivotButton="0" quotePrefix="0" xfId="0">
      <alignment horizontal="center" vertical="bottom"/>
    </xf>
    <xf numFmtId="0" fontId="32" fillId="0" borderId="0" applyAlignment="1" pivotButton="0" quotePrefix="0" xfId="0">
      <alignment horizontal="general" vertical="bottom"/>
    </xf>
    <xf numFmtId="0" fontId="33" fillId="0" borderId="0" applyAlignment="1" pivotButton="0" quotePrefix="0" xfId="0">
      <alignment horizontal="general" vertical="top" wrapText="1"/>
    </xf>
    <xf numFmtId="0" fontId="18" fillId="4" borderId="1" applyAlignment="1" pivotButton="0" quotePrefix="0" xfId="0">
      <alignment horizontal="center" vertical="center" wrapText="1"/>
    </xf>
    <xf numFmtId="0" fontId="17" fillId="0" borderId="1" applyAlignment="1" pivotButton="0" quotePrefix="0" xfId="0">
      <alignment horizontal="center" vertical="center" wrapText="1"/>
    </xf>
    <xf numFmtId="0" fontId="10" fillId="7" borderId="1" applyAlignment="1" pivotButton="0" quotePrefix="0" xfId="0">
      <alignment horizontal="general" vertical="top" wrapText="1"/>
    </xf>
    <xf numFmtId="0" fontId="10" fillId="7" borderId="1" applyAlignment="1" pivotButton="0" quotePrefix="0" xfId="0">
      <alignment horizontal="center" vertical="center" wrapText="1"/>
    </xf>
    <xf numFmtId="0" fontId="14" fillId="3" borderId="1" applyAlignment="1" pivotButton="0" quotePrefix="0" xfId="0">
      <alignment horizontal="general" vertical="top" wrapText="1"/>
    </xf>
    <xf numFmtId="9" fontId="17" fillId="0" borderId="1" applyAlignment="1" pivotButton="0" quotePrefix="0" xfId="0">
      <alignment horizontal="center" vertical="center" wrapText="1"/>
    </xf>
    <xf numFmtId="0" fontId="20" fillId="0" borderId="1" applyAlignment="1" pivotButton="0" quotePrefix="0" xfId="0">
      <alignment horizontal="general" vertical="top" wrapText="1"/>
    </xf>
    <xf numFmtId="1" fontId="17" fillId="5" borderId="1" applyAlignment="1" pivotButton="0" quotePrefix="0" xfId="0">
      <alignment horizontal="center" vertical="center" wrapText="1"/>
    </xf>
    <xf numFmtId="2" fontId="17" fillId="5" borderId="1" applyAlignment="1" pivotButton="0" quotePrefix="0" xfId="0">
      <alignment horizontal="center" vertical="center" wrapText="1"/>
    </xf>
    <xf numFmtId="166" fontId="17" fillId="5" borderId="1" applyAlignment="1" pivotButton="0" quotePrefix="0" xfId="0">
      <alignment horizontal="center" vertical="center" wrapText="1"/>
    </xf>
    <xf numFmtId="9" fontId="17" fillId="5" borderId="1" applyAlignment="1" pivotButton="0" quotePrefix="0" xfId="0">
      <alignment horizontal="center" vertical="center" wrapText="1"/>
    </xf>
    <xf numFmtId="1" fontId="17" fillId="3" borderId="1" applyAlignment="1" pivotButton="0" quotePrefix="0" xfId="0">
      <alignment horizontal="center" vertical="center" wrapText="1"/>
    </xf>
    <xf numFmtId="0" fontId="32" fillId="0" borderId="0" applyAlignment="1" pivotButton="0" quotePrefix="0" xfId="0">
      <alignment horizontal="left" vertical="center"/>
    </xf>
    <xf numFmtId="0" fontId="21" fillId="0" borderId="0" applyAlignment="1" pivotButton="0" quotePrefix="0" xfId="0">
      <alignment horizontal="general" vertical="top" wrapText="1"/>
    </xf>
    <xf numFmtId="0" fontId="34" fillId="0" borderId="1" applyAlignment="1" pivotButton="0" quotePrefix="0" xfId="0">
      <alignment horizontal="center" vertical="center" wrapText="1"/>
    </xf>
    <xf numFmtId="9" fontId="24" fillId="0" borderId="1" applyAlignment="1" pivotButton="0" quotePrefix="0" xfId="0">
      <alignment horizontal="center" vertical="center"/>
    </xf>
    <xf numFmtId="0" fontId="28" fillId="3" borderId="1" applyAlignment="1" pivotButton="0" quotePrefix="0" xfId="0">
      <alignment horizontal="left" vertical="top" wrapText="1"/>
    </xf>
    <xf numFmtId="0" fontId="11" fillId="3" borderId="1" applyAlignment="1" pivotButton="0" quotePrefix="0" xfId="0">
      <alignment horizontal="left" vertical="top" wrapText="1"/>
    </xf>
    <xf numFmtId="0" fontId="17" fillId="2" borderId="0" applyAlignment="1" pivotButton="0" quotePrefix="0" xfId="0">
      <alignment horizontal="left" vertical="center"/>
    </xf>
    <xf numFmtId="0" fontId="10" fillId="0" borderId="0" applyAlignment="1" pivotButton="0" quotePrefix="0" xfId="0">
      <alignment horizontal="general" vertical="center"/>
    </xf>
    <xf numFmtId="0" fontId="24" fillId="0" borderId="0" applyAlignment="1" pivotButton="0" quotePrefix="0" xfId="0">
      <alignment horizontal="general" vertical="center"/>
    </xf>
    <xf numFmtId="9" fontId="35" fillId="5" borderId="1" applyAlignment="1" pivotButton="0" quotePrefix="0" xfId="0">
      <alignment horizontal="center" vertical="center"/>
    </xf>
    <xf numFmtId="167" fontId="16" fillId="0" borderId="0" applyAlignment="1" pivotButton="0" quotePrefix="0" xfId="0">
      <alignment horizontal="center" vertical="center" wrapText="1"/>
    </xf>
    <xf numFmtId="0" fontId="10" fillId="0" borderId="0" applyAlignment="1" pivotButton="0" quotePrefix="0" xfId="0">
      <alignment horizontal="left" vertical="center"/>
    </xf>
    <xf numFmtId="166" fontId="24" fillId="0" borderId="1" applyAlignment="1" pivotButton="0" quotePrefix="0" xfId="0">
      <alignment horizontal="center" vertical="center"/>
    </xf>
    <xf numFmtId="0" fontId="24" fillId="0" borderId="0" applyAlignment="1" pivotButton="0" quotePrefix="0" xfId="0">
      <alignment horizontal="left" vertical="center"/>
    </xf>
    <xf numFmtId="0" fontId="17" fillId="5" borderId="1" applyAlignment="1" pivotButton="0" quotePrefix="0" xfId="0">
      <alignment horizontal="center" vertical="center"/>
    </xf>
    <xf numFmtId="2" fontId="17" fillId="5" borderId="1" applyAlignment="1" pivotButton="0" quotePrefix="0" xfId="0">
      <alignment horizontal="center" vertical="center"/>
    </xf>
    <xf numFmtId="9" fontId="17" fillId="5" borderId="1" applyAlignment="1" pivotButton="0" quotePrefix="0" xfId="0">
      <alignment horizontal="center" vertical="center"/>
    </xf>
    <xf numFmtId="0" fontId="10" fillId="5" borderId="1" applyAlignment="1" pivotButton="0" quotePrefix="0" xfId="0">
      <alignment horizontal="left" vertical="center"/>
    </xf>
    <xf numFmtId="168" fontId="36" fillId="0" borderId="1" applyAlignment="1" pivotButton="0" quotePrefix="0" xfId="0">
      <alignment horizontal="center" vertical="center"/>
    </xf>
    <xf numFmtId="0" fontId="12" fillId="0" borderId="1" applyAlignment="1" pivotButton="0" quotePrefix="0" xfId="0">
      <alignment horizontal="left" vertical="center" wrapText="1"/>
    </xf>
    <xf numFmtId="164" fontId="12" fillId="0" borderId="1" applyAlignment="1" pivotButton="0" quotePrefix="0" xfId="0">
      <alignment horizontal="left" vertical="center" wrapText="1"/>
    </xf>
    <xf numFmtId="0" fontId="37" fillId="0" borderId="1" applyAlignment="1" pivotButton="0" quotePrefix="0" xfId="0">
      <alignment horizontal="center" vertical="center" wrapText="1"/>
    </xf>
    <xf numFmtId="0" fontId="0" fillId="0" borderId="3" pivotButton="0" quotePrefix="0" xfId="0"/>
    <xf numFmtId="0" fontId="0" fillId="0" borderId="4" pivotButton="0" quotePrefix="0" xfId="0"/>
    <xf numFmtId="0" fontId="0" fillId="0" borderId="9" pivotButton="0" quotePrefix="0" xfId="0"/>
    <xf numFmtId="0" fontId="0" fillId="0" borderId="10" pivotButton="0" quotePrefix="0" xfId="0"/>
    <xf numFmtId="0" fontId="0" fillId="0" borderId="11" pivotButton="0" quotePrefix="0" xfId="0"/>
    <xf numFmtId="0" fontId="9" fillId="13" borderId="1" applyAlignment="1" pivotButton="0" quotePrefix="0" xfId="0">
      <alignment horizontal="center" vertical="center" wrapText="1"/>
    </xf>
    <xf numFmtId="0" fontId="13"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24" fillId="0" borderId="0" applyAlignment="1" pivotButton="0" quotePrefix="0" xfId="0">
      <alignment horizontal="general" vertical="center" wrapText="1"/>
    </xf>
    <xf numFmtId="0" fontId="10" fillId="0" borderId="0" applyAlignment="1" pivotButton="0" quotePrefix="0" xfId="0">
      <alignment horizontal="general" vertical="center" wrapText="1"/>
    </xf>
    <xf numFmtId="166" fontId="17" fillId="5" borderId="1" applyAlignment="1" pivotButton="0" quotePrefix="0" xfId="0">
      <alignment horizontal="center" vertical="center"/>
    </xf>
    <xf numFmtId="1" fontId="17" fillId="5" borderId="1" applyAlignment="1" pivotButton="0" quotePrefix="0" xfId="0">
      <alignment horizontal="center" vertical="center"/>
    </xf>
    <xf numFmtId="0" fontId="10" fillId="3" borderId="1" applyAlignment="1" pivotButton="0" quotePrefix="0" xfId="0">
      <alignment horizontal="general" vertical="top" wrapText="1"/>
    </xf>
    <xf numFmtId="169" fontId="10" fillId="3" borderId="1" applyAlignment="1" pivotButton="0" quotePrefix="0" xfId="0">
      <alignment horizontal="center" vertical="top"/>
    </xf>
    <xf numFmtId="0" fontId="10" fillId="3" borderId="1" applyAlignment="1" pivotButton="0" quotePrefix="0" xfId="0">
      <alignment horizontal="center" vertical="top"/>
    </xf>
    <xf numFmtId="0" fontId="10" fillId="3" borderId="1" applyAlignment="1" pivotButton="0" quotePrefix="0" xfId="0">
      <alignment horizontal="left" vertical="top"/>
    </xf>
    <xf numFmtId="170" fontId="10" fillId="3" borderId="1" applyAlignment="1" pivotButton="0" quotePrefix="0" xfId="0">
      <alignment horizontal="center" vertical="top"/>
    </xf>
    <xf numFmtId="0" fontId="10" fillId="3" borderId="1" applyAlignment="1" pivotButton="0" quotePrefix="0" xfId="0">
      <alignment horizontal="left" vertical="top" wrapText="1"/>
    </xf>
    <xf numFmtId="164" fontId="24" fillId="0" borderId="1" applyAlignment="1" pivotButton="0" quotePrefix="0" xfId="0">
      <alignment horizontal="center" vertical="center"/>
    </xf>
    <xf numFmtId="0" fontId="24" fillId="0" borderId="2" applyAlignment="1" pivotButton="0" quotePrefix="0" xfId="0">
      <alignment horizontal="left" vertical="center" wrapText="1"/>
    </xf>
    <xf numFmtId="0" fontId="38" fillId="0" borderId="1" applyAlignment="1" pivotButton="0" quotePrefix="0" xfId="0">
      <alignment horizontal="center" vertical="center"/>
    </xf>
    <xf numFmtId="0" fontId="14" fillId="3" borderId="1" applyAlignment="1" pivotButton="0" quotePrefix="0" xfId="0">
      <alignment horizontal="center" vertical="center"/>
    </xf>
    <xf numFmtId="164" fontId="14" fillId="3" borderId="1" applyAlignment="1" pivotButton="0" quotePrefix="0" xfId="0">
      <alignment horizontal="center" vertical="center"/>
    </xf>
    <xf numFmtId="0" fontId="10" fillId="0" borderId="0" applyAlignment="1" pivotButton="0" quotePrefix="0" xfId="0">
      <alignment horizontal="left" vertical="center" wrapText="1"/>
    </xf>
    <xf numFmtId="3" fontId="24" fillId="0" borderId="1" applyAlignment="1" pivotButton="0" quotePrefix="0" xfId="0">
      <alignment horizontal="center" vertical="center"/>
    </xf>
    <xf numFmtId="3" fontId="14" fillId="3" borderId="1" applyAlignment="1" pivotButton="0" quotePrefix="0" xfId="0">
      <alignment horizontal="center" vertical="center"/>
    </xf>
    <xf numFmtId="165" fontId="24" fillId="0" borderId="1" applyAlignment="1" pivotButton="0" quotePrefix="0" xfId="0">
      <alignment horizontal="center" vertical="center"/>
    </xf>
    <xf numFmtId="165" fontId="14" fillId="3" borderId="1" applyAlignment="1" pivotButton="0" quotePrefix="0" xfId="0">
      <alignment horizontal="center" vertical="center"/>
    </xf>
    <xf numFmtId="0" fontId="14" fillId="3" borderId="1" applyAlignment="1" pivotButton="0" quotePrefix="0" xfId="0">
      <alignment horizontal="left" vertical="center" wrapText="1"/>
    </xf>
    <xf numFmtId="0" fontId="26" fillId="0" borderId="1" applyAlignment="1" pivotButton="0" quotePrefix="0" xfId="0">
      <alignment horizontal="left" vertical="center" wrapText="1"/>
    </xf>
    <xf numFmtId="0" fontId="39" fillId="0" borderId="1" applyAlignment="1" pivotButton="0" quotePrefix="0" xfId="0">
      <alignment horizontal="center" vertical="center" wrapText="1"/>
    </xf>
    <xf numFmtId="0" fontId="14" fillId="3" borderId="1" applyAlignment="1" pivotButton="0" quotePrefix="0" xfId="0">
      <alignment horizontal="center" vertical="center" wrapText="1"/>
    </xf>
    <xf numFmtId="0" fontId="17" fillId="3" borderId="1" applyAlignment="1" pivotButton="0" quotePrefix="0" xfId="0">
      <alignment horizontal="center" vertical="center"/>
    </xf>
    <xf numFmtId="0" fontId="19" fillId="3" borderId="1" applyAlignment="1" pivotButton="0" quotePrefix="0" xfId="0">
      <alignment horizontal="center" vertical="center"/>
    </xf>
    <xf numFmtId="164" fontId="11" fillId="3" borderId="1" applyAlignment="1" pivotButton="0" quotePrefix="0" xfId="0">
      <alignment horizontal="center" vertical="center"/>
    </xf>
    <xf numFmtId="0" fontId="20" fillId="3" borderId="1" applyAlignment="1" pivotButton="0" quotePrefix="0" xfId="0">
      <alignment horizontal="general" vertical="top" wrapText="1"/>
    </xf>
    <xf numFmtId="0" fontId="11" fillId="3" borderId="1" applyAlignment="1" pivotButton="0" quotePrefix="0" xfId="0">
      <alignment horizontal="general" vertical="bottom"/>
    </xf>
    <xf numFmtId="0" fontId="40" fillId="0" borderId="0" applyAlignment="1" pivotButton="0" quotePrefix="0" xfId="0">
      <alignment horizontal="general" vertical="bottom"/>
    </xf>
    <xf numFmtId="0" fontId="41" fillId="0" borderId="0" applyAlignment="1" pivotButton="0" quotePrefix="0" xfId="0">
      <alignment horizontal="general" vertical="bottom"/>
    </xf>
    <xf numFmtId="0" fontId="42" fillId="0" borderId="0" applyAlignment="1" pivotButton="0" quotePrefix="0" xfId="0">
      <alignment horizontal="general" vertical="bottom"/>
    </xf>
    <xf numFmtId="0" fontId="9" fillId="2" borderId="0" applyAlignment="1" pivotButton="0" quotePrefix="0" xfId="0">
      <alignment horizontal="general" vertical="center" indent="1"/>
    </xf>
    <xf numFmtId="0" fontId="18" fillId="13" borderId="1" applyAlignment="1" pivotButton="0" quotePrefix="0" xfId="0">
      <alignment horizontal="center" vertical="center"/>
    </xf>
    <xf numFmtId="0" fontId="43" fillId="0" borderId="1" applyAlignment="1" pivotButton="0" quotePrefix="0" xfId="0">
      <alignment horizontal="center" vertical="center"/>
    </xf>
    <xf numFmtId="0" fontId="34" fillId="0" borderId="1" applyAlignment="1" pivotButton="0" quotePrefix="0" xfId="0">
      <alignment horizontal="general" vertical="center" indent="1"/>
    </xf>
    <xf numFmtId="2" fontId="44" fillId="0" borderId="1" applyAlignment="1" pivotButton="0" quotePrefix="0" xfId="0">
      <alignment horizontal="center" vertical="center"/>
    </xf>
    <xf numFmtId="0" fontId="43" fillId="0" borderId="0" applyAlignment="1" pivotButton="0" quotePrefix="0" xfId="0">
      <alignment horizontal="general" vertical="bottom"/>
    </xf>
    <xf numFmtId="0" fontId="45" fillId="0" borderId="0" applyAlignment="1" pivotButton="0" quotePrefix="0" xfId="0">
      <alignment horizontal="general" vertical="bottom"/>
    </xf>
    <xf numFmtId="0" fontId="46" fillId="0" borderId="0" applyAlignment="1" pivotButton="0" quotePrefix="0" xfId="0">
      <alignment horizontal="left" vertical="center"/>
    </xf>
    <xf numFmtId="0" fontId="47" fillId="0" borderId="1" applyAlignment="1" pivotButton="0" quotePrefix="0" xfId="0">
      <alignment horizontal="center" vertical="center"/>
    </xf>
    <xf numFmtId="0" fontId="48" fillId="0" borderId="1" applyAlignment="1" pivotButton="0" quotePrefix="0" xfId="0">
      <alignment horizontal="center" vertical="center"/>
    </xf>
    <xf numFmtId="0" fontId="48" fillId="0" borderId="1" applyAlignment="1" pivotButton="0" quotePrefix="0" xfId="0">
      <alignment horizontal="general" vertical="center" indent="1"/>
    </xf>
    <xf numFmtId="0" fontId="45" fillId="0" borderId="1" applyAlignment="1" pivotButton="0" quotePrefix="0" xfId="0">
      <alignment horizontal="general" vertical="center" indent="1"/>
    </xf>
    <xf numFmtId="0" fontId="36" fillId="0" borderId="1" applyAlignment="1" pivotButton="0" quotePrefix="0" xfId="0">
      <alignment horizontal="general" vertical="bottom"/>
    </xf>
    <xf numFmtId="0" fontId="49" fillId="0" borderId="0" applyAlignment="1" pivotButton="0" quotePrefix="0" xfId="0">
      <alignment horizontal="general" vertical="bottom"/>
    </xf>
    <xf numFmtId="0" fontId="13" fillId="0" borderId="0" applyAlignment="1" pivotButton="0" quotePrefix="0" xfId="0">
      <alignment horizontal="general" vertical="center" indent="1"/>
    </xf>
    <xf numFmtId="0" fontId="11" fillId="3" borderId="1" applyAlignment="1" pivotButton="0" quotePrefix="0" xfId="0">
      <alignment horizontal="general" vertical="center" indent="1"/>
    </xf>
    <xf numFmtId="0" fontId="50" fillId="0" borderId="0" applyAlignment="1" pivotButton="0" quotePrefix="0" xfId="0">
      <alignment horizontal="general" vertical="center" indent="1"/>
    </xf>
    <xf numFmtId="0" fontId="51" fillId="0" borderId="1" applyAlignment="1" pivotButton="0" quotePrefix="0" xfId="0">
      <alignment horizontal="center" vertical="center"/>
    </xf>
    <xf numFmtId="0" fontId="14" fillId="3" borderId="1" applyAlignment="1" pivotButton="0" quotePrefix="0" xfId="0">
      <alignment horizontal="general" vertical="center" indent="1"/>
    </xf>
    <xf numFmtId="2" fontId="34" fillId="0" borderId="1" applyAlignment="1" pivotButton="0" quotePrefix="0" xfId="0">
      <alignment horizontal="center" vertical="center"/>
    </xf>
    <xf numFmtId="171" fontId="34" fillId="3" borderId="1" applyAlignment="1" pivotButton="0" quotePrefix="0" xfId="0">
      <alignment horizontal="center" vertical="center"/>
    </xf>
    <xf numFmtId="0" fontId="52" fillId="0" borderId="1" applyAlignment="1" pivotButton="0" quotePrefix="0" xfId="0">
      <alignment horizontal="center" vertical="center"/>
    </xf>
    <xf numFmtId="0" fontId="53" fillId="0" borderId="0" applyAlignment="1" pivotButton="0" quotePrefix="0" xfId="0">
      <alignment horizontal="general" vertical="bottom"/>
    </xf>
    <xf numFmtId="0" fontId="34" fillId="0" borderId="1" applyAlignment="1" pivotButton="0" quotePrefix="0" xfId="0">
      <alignment horizontal="center" vertical="center"/>
    </xf>
    <xf numFmtId="172" fontId="34" fillId="3" borderId="1" applyAlignment="1" pivotButton="0" quotePrefix="0" xfId="0">
      <alignment horizontal="center" vertical="center"/>
    </xf>
    <xf numFmtId="0" fontId="44" fillId="0" borderId="0" applyAlignment="1" pivotButton="0" quotePrefix="0" xfId="0">
      <alignment horizontal="general" vertical="bottom"/>
    </xf>
    <xf numFmtId="172" fontId="43" fillId="0" borderId="0" applyAlignment="1" pivotButton="0" quotePrefix="0" xfId="0">
      <alignment horizontal="center" vertical="center"/>
    </xf>
    <xf numFmtId="0" fontId="44" fillId="0" borderId="0" applyAlignment="1" pivotButton="0" quotePrefix="0" xfId="0">
      <alignment horizontal="center" vertical="center"/>
    </xf>
    <xf numFmtId="0" fontId="20" fillId="0" borderId="0" applyAlignment="1" pivotButton="0" quotePrefix="0" xfId="0">
      <alignment horizontal="general" vertical="bottom"/>
    </xf>
    <xf numFmtId="0" fontId="20" fillId="0" borderId="0" applyAlignment="1" pivotButton="0" quotePrefix="0" xfId="0">
      <alignment horizontal="center" vertical="center"/>
    </xf>
    <xf numFmtId="0" fontId="54" fillId="0" borderId="0" applyAlignment="1" pivotButton="0" quotePrefix="0" xfId="0">
      <alignment horizontal="general" vertical="bottom"/>
    </xf>
    <xf numFmtId="2" fontId="55" fillId="6" borderId="1" applyAlignment="1" pivotButton="0" quotePrefix="0" xfId="0">
      <alignment horizontal="center" vertical="center"/>
    </xf>
    <xf numFmtId="0" fontId="16" fillId="6" borderId="1" applyAlignment="1" pivotButton="0" quotePrefix="0" xfId="0">
      <alignment horizontal="center" vertical="center"/>
    </xf>
    <xf numFmtId="0" fontId="13" fillId="6" borderId="1" applyAlignment="1" pivotButton="0" quotePrefix="0" xfId="0">
      <alignment horizontal="general" vertical="center" indent="1"/>
    </xf>
    <xf numFmtId="0" fontId="56" fillId="2" borderId="0" applyAlignment="1" pivotButton="0" quotePrefix="0" xfId="0">
      <alignment horizontal="center" vertical="center"/>
    </xf>
    <xf numFmtId="0" fontId="57" fillId="14" borderId="0" applyAlignment="1" pivotButton="0" quotePrefix="0" xfId="0">
      <alignment horizontal="center" vertical="center"/>
    </xf>
    <xf numFmtId="0" fontId="41" fillId="0" borderId="0" applyAlignment="1" pivotButton="0" quotePrefix="0" xfId="0">
      <alignment horizontal="general" vertical="top" wrapText="1"/>
    </xf>
    <xf numFmtId="0" fontId="43" fillId="0" borderId="1" applyAlignment="1" pivotButton="0" quotePrefix="0" xfId="0">
      <alignment horizontal="general" vertical="center" indent="1"/>
    </xf>
    <xf numFmtId="0" fontId="41" fillId="0" borderId="1" applyAlignment="1" pivotButton="0" quotePrefix="0" xfId="0">
      <alignment horizontal="general" vertical="center" indent="1"/>
    </xf>
    <xf numFmtId="0" fontId="34" fillId="0" borderId="0" applyAlignment="1" pivotButton="0" quotePrefix="0" xfId="0">
      <alignment horizontal="general" vertical="center" indent="1"/>
    </xf>
    <xf numFmtId="0" fontId="58" fillId="6" borderId="1" applyAlignment="1" pivotButton="0" quotePrefix="0" xfId="0">
      <alignment horizontal="general" vertical="center" indent="1"/>
    </xf>
    <xf numFmtId="0" fontId="34" fillId="15" borderId="1" applyAlignment="1" pivotButton="0" quotePrefix="0" xfId="0">
      <alignment horizontal="general" vertical="top" wrapText="1"/>
    </xf>
    <xf numFmtId="0" fontId="0" fillId="3" borderId="1" applyAlignment="1" pivotButton="0" quotePrefix="0" xfId="0">
      <alignment horizontal="center" vertical="center"/>
    </xf>
    <xf numFmtId="0" fontId="30" fillId="0" borderId="0" applyAlignment="1" pivotButton="0" quotePrefix="0" xfId="0">
      <alignment horizontal="general" vertical="center" indent="1"/>
    </xf>
    <xf numFmtId="0" fontId="59" fillId="16" borderId="1" applyAlignment="1" pivotButton="0" quotePrefix="0" xfId="0">
      <alignment horizontal="center" vertical="center"/>
    </xf>
    <xf numFmtId="0" fontId="16" fillId="0" borderId="1" applyAlignment="1" pivotButton="0" quotePrefix="0" xfId="0">
      <alignment horizontal="center" vertical="center" wrapText="1"/>
    </xf>
    <xf numFmtId="0" fontId="34" fillId="0" borderId="1" applyAlignment="1" pivotButton="0" quotePrefix="0" xfId="0">
      <alignment horizontal="left" vertical="center" wrapText="1"/>
    </xf>
    <xf numFmtId="0" fontId="17" fillId="2" borderId="1" applyAlignment="1" pivotButton="0" quotePrefix="0" xfId="0">
      <alignment horizontal="center" vertical="center" wrapText="1"/>
    </xf>
    <xf numFmtId="0" fontId="13" fillId="0" borderId="1" applyAlignment="1" pivotButton="0" quotePrefix="0" xfId="0">
      <alignment horizontal="center" vertical="center" wrapText="1"/>
    </xf>
    <xf numFmtId="0" fontId="13" fillId="8" borderId="1" applyAlignment="1" pivotButton="0" quotePrefix="0" xfId="0">
      <alignment horizontal="left" vertical="center" wrapText="1"/>
    </xf>
    <xf numFmtId="0" fontId="19" fillId="0" borderId="1" applyAlignment="1" pivotButton="0" quotePrefix="0" xfId="0">
      <alignment horizontal="left" vertical="center" wrapText="1"/>
    </xf>
    <xf numFmtId="9" fontId="19" fillId="3" borderId="1" applyAlignment="1" pivotButton="0" quotePrefix="0" xfId="0">
      <alignment horizontal="center" vertical="center"/>
    </xf>
    <xf numFmtId="0" fontId="31" fillId="0" borderId="1" applyAlignment="1" pivotButton="0" quotePrefix="0" xfId="0">
      <alignment horizontal="general" vertical="top" wrapText="1"/>
    </xf>
    <xf numFmtId="0" fontId="13" fillId="12" borderId="1" applyAlignment="1" pivotButton="0" quotePrefix="0" xfId="0">
      <alignment horizontal="left" vertical="center" wrapText="1"/>
    </xf>
    <xf numFmtId="0" fontId="13" fillId="9" borderId="1" applyAlignment="1" pivotButton="0" quotePrefix="0" xfId="0">
      <alignment horizontal="left" vertical="center" wrapText="1"/>
    </xf>
    <xf numFmtId="0" fontId="13" fillId="10" borderId="1" applyAlignment="1" pivotButton="0" quotePrefix="0" xfId="0">
      <alignment horizontal="left" vertical="center" wrapText="1"/>
    </xf>
    <xf numFmtId="0" fontId="13" fillId="11" borderId="1" applyAlignment="1" pivotButton="0" quotePrefix="0" xfId="0">
      <alignment horizontal="left" vertical="center" wrapText="1"/>
    </xf>
    <xf numFmtId="4" fontId="11" fillId="3" borderId="1" applyAlignment="1" pivotButton="0" quotePrefix="0" xfId="0">
      <alignment horizontal="center" vertical="center" wrapText="1"/>
    </xf>
    <xf numFmtId="0" fontId="34" fillId="0" borderId="1" applyAlignment="1" pivotButton="0" quotePrefix="0" xfId="0">
      <alignment horizontal="left" vertical="top" wrapText="1"/>
    </xf>
    <xf numFmtId="3" fontId="34" fillId="0" borderId="1" applyAlignment="1" pivotButton="0" quotePrefix="0" xfId="0">
      <alignment horizontal="center" vertical="center" wrapText="1"/>
    </xf>
    <xf numFmtId="4" fontId="34" fillId="0" borderId="1" applyAlignment="1" pivotButton="0" quotePrefix="0" xfId="0">
      <alignment horizontal="center" vertical="center" wrapText="1"/>
    </xf>
    <xf numFmtId="0" fontId="8" fillId="0" borderId="0" applyAlignment="1" pivotButton="0" quotePrefix="0" xfId="0">
      <alignment horizontal="general" vertical="center"/>
    </xf>
    <xf numFmtId="0" fontId="18" fillId="13" borderId="0" applyAlignment="1" pivotButton="0" quotePrefix="0" xfId="0">
      <alignment horizontal="center" vertical="center"/>
    </xf>
    <xf numFmtId="0" fontId="25" fillId="5" borderId="1" applyAlignment="1" pivotButton="0" quotePrefix="0" xfId="0">
      <alignment horizontal="left" vertical="top" wrapText="1"/>
    </xf>
    <xf numFmtId="0" fontId="25" fillId="0" borderId="1" applyAlignment="1" pivotButton="0" quotePrefix="0" xfId="0">
      <alignment horizontal="center" vertical="top" wrapText="1"/>
    </xf>
    <xf numFmtId="0" fontId="45" fillId="0" borderId="1"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bgColor rgb="FFFFC7CE"/>
        </patternFill>
      </fill>
    </dxf>
    <dxf>
      <fill>
        <patternFill>
          <bgColor rgb="FFC6EFCE"/>
        </patternFill>
      </fill>
    </dxf>
    <dxf>
      <fill>
        <patternFill>
          <bgColor rgb="FF63BE7B"/>
        </patternFill>
      </fill>
    </dxf>
    <dxf>
      <fill>
        <patternFill>
          <bgColor rgb="FFA9D08E"/>
        </patternFill>
      </fill>
    </dxf>
    <dxf>
      <fill>
        <patternFill>
          <bgColor rgb="FFFFD966"/>
        </patternFill>
      </fill>
    </dxf>
    <dxf>
      <fill>
        <patternFill>
          <bgColor rgb="FFF4B183"/>
        </patternFill>
      </fill>
    </dxf>
    <dxf>
      <fill>
        <patternFill>
          <bgColor rgb="FFFF7C80"/>
        </patternFill>
      </fill>
    </dxf>
    <dxf>
      <fill>
        <patternFill>
          <bgColor rgb="FFFFEB9C"/>
        </patternFill>
      </fill>
    </dxf>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BDD7EE"/>
          <bgColor rgb="FF000000"/>
        </patternFill>
      </fill>
    </dxf>
  </dxfs>
  <colors>
    <indexedColors>
      <rgbColor rgb="FF000000"/>
      <rgbColor rgb="FFFFFFFF"/>
      <rgbColor rgb="FFC00000"/>
      <rgbColor rgb="FF00FF00"/>
      <rgbColor rgb="FF0000FF"/>
      <rgbColor rgb="FFFFD966"/>
      <rgbColor rgb="FFFF00FF"/>
      <rgbColor rgb="FF00FFFF"/>
      <rgbColor rgb="FF800000"/>
      <rgbColor rgb="FF008000"/>
      <rgbColor rgb="FF000080"/>
      <rgbColor rgb="FF548235"/>
      <rgbColor rgb="FF800080"/>
      <rgbColor rgb="FF008080"/>
      <rgbColor rgb="FFBFBFBF"/>
      <rgbColor rgb="FF808080"/>
      <rgbColor rgb="FFFDF2F2"/>
      <rgbColor rgb="FF993366"/>
      <rgbColor rgb="FFFFF2CC"/>
      <rgbColor rgb="FFDDEBF7"/>
      <rgbColor rgb="FF660066"/>
      <rgbColor rgb="FFFF7C80"/>
      <rgbColor rgb="FF0066CC"/>
      <rgbColor rgb="FFBDD7EE"/>
      <rgbColor rgb="FF000080"/>
      <rgbColor rgb="FFFF00FF"/>
      <rgbColor rgb="FFFFE699"/>
      <rgbColor rgb="FF00FFFF"/>
      <rgbColor rgb="FF800080"/>
      <rgbColor rgb="FF800000"/>
      <rgbColor rgb="FF008080"/>
      <rgbColor rgb="FF0000FF"/>
      <rgbColor rgb="FF00CCFF"/>
      <rgbColor rgb="FFF2F5F9"/>
      <rgbColor rgb="FFC6EFCE"/>
      <rgbColor rgb="FFFFEB9C"/>
      <rgbColor rgb="FFA9D08E"/>
      <rgbColor rgb="FFF4B183"/>
      <rgbColor rgb="FFF2F2F2"/>
      <rgbColor rgb="FFFFC7CE"/>
      <rgbColor rgb="FF2E75B6"/>
      <rgbColor rgb="FF63BE7B"/>
      <rgbColor rgb="FF99CC00"/>
      <rgbColor rgb="FFFFC000"/>
      <rgbColor rgb="FFF2A541"/>
      <rgbColor rgb="FFFF6600"/>
      <rgbColor rgb="FF595959"/>
      <rgbColor rgb="FF969696"/>
      <rgbColor rgb="FF1F4E78"/>
      <rgbColor rgb="FF339966"/>
      <rgbColor rgb="FF006100"/>
      <rgbColor rgb="FF333300"/>
      <rgbColor rgb="FF993300"/>
      <rgbColor rgb="FF993366"/>
      <rgbColor rgb="FF1F4E79"/>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ables/table1.xml><?xml version="1.0" encoding="utf-8"?>
<table xmlns="http://schemas.openxmlformats.org/spreadsheetml/2006/main" id="1" name="tblBASE" displayName="tblBASE" ref="A5:G755" headerRowCount="1" totalsRowCount="0" totalsRowShown="0">
  <autoFilter ref="A5:G755"/>
  <tableColumns count="7">
    <tableColumn id="1" name="Clave"/>
    <tableColumn id="2" name="Actividad"/>
    <tableColumn id="3" name="Núm."/>
    <tableColumn id="4" name="Indicador"/>
    <tableColumn id="5" name="Perfil ALTO"/>
    <tableColumn id="6" name="Perfil MEDIO"/>
    <tableColumn id="7" name="Perfil BAJO"/>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7.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filterMode="0">
    <tabColor rgb="FF1F4E79"/>
    <outlinePr summaryBelow="1" summaryRight="1"/>
    <pageSetUpPr fitToPage="0"/>
  </sheetPr>
  <dimension ref="B1:F48"/>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224" min="1" max="1"/>
    <col width="30" customWidth="1" style="224" min="2" max="2"/>
    <col width="44" customWidth="1" style="224" min="3" max="3"/>
    <col width="28" customWidth="1" style="224" min="4" max="4"/>
    <col width="20" customWidth="1" style="224" min="5" max="5"/>
    <col width="18" customWidth="1" style="224" min="6" max="6"/>
  </cols>
  <sheetData>
    <row r="1" ht="15" customHeight="1" s="225">
      <c r="B1" s="226" t="inlineStr">
        <is>
          <t>v9.0 · 1 de septiembre de 2026 · modelo de cliente de 22 factores</t>
        </is>
      </c>
    </row>
    <row r="2" ht="21.75" customHeight="1" s="225">
      <c r="B2" s="227" t="inlineStr">
        <is>
          <t>HERRAMIENTA DE EVALUACIÓN DE RIESGO EBR · ACTIVIDADES VULNERABLES (LFPIORPI)</t>
        </is>
      </c>
    </row>
    <row r="3" ht="15" customHeight="1" s="225">
      <c r="B3" s="228" t="inlineStr">
        <is>
          <t>Determina tu riesgo inherente y residual conforme a las Reglas (Cap. II Quáter y III Bis/III Ter), la Guía CNBV y GAFILAT.</t>
        </is>
      </c>
    </row>
    <row r="4" ht="15" customHeight="1" s="225">
      <c r="B4" s="229" t="inlineStr">
        <is>
          <t>NOTA: trae un EJEMPLO completo precargado (una inmobiliaria, fracción V). Todo lo que está en texto azul es del ejemplo: sustitúyelo por lo tuyo.</t>
        </is>
      </c>
    </row>
    <row r="5" ht="15" customHeight="1" s="225">
      <c r="B5" s="230" t="inlineStr">
        <is>
          <t>Paso 1 de 10  ·  Configura antes en PARÁMETROS  ·  Sigue: A9 secciones 1 y 2 (ENR y conciliación), y luego A1</t>
        </is>
      </c>
    </row>
    <row r="6" ht="15" customHeight="1" s="225">
      <c r="B6" s="231" t="inlineStr">
        <is>
          <t>CÓMO USAR</t>
        </is>
      </c>
      <c r="C6" s="232" t="n"/>
      <c r="D6" s="232" t="n"/>
      <c r="E6" s="232" t="n"/>
      <c r="F6" s="233" t="n"/>
    </row>
    <row r="7" ht="15" customHeight="1" s="225">
      <c r="B7" s="234" t="inlineStr">
        <is>
          <t>1. Abre primero PARÁMETROS: actualiza el valor de la UMA y declara tu nivel de tolerancia al riesgo. Se hace una vez al año.</t>
        </is>
      </c>
      <c r="C7" s="232" t="n"/>
      <c r="D7" s="232" t="n"/>
      <c r="E7" s="232" t="n"/>
      <c r="F7" s="233" t="n"/>
    </row>
    <row r="8" ht="15" customHeight="1" s="225">
      <c r="B8" s="234" t="inlineStr">
        <is>
          <t>2. Aquí en INICIO elige tu Actividad Vulnerable —se precargan tus umbrales— y captura los datos de tu entidad y las tres cifras de doce meses (Art. 10 Septies 2, fr. II).</t>
        </is>
      </c>
      <c r="C8" s="232" t="n"/>
      <c r="D8" s="232" t="n"/>
      <c r="E8" s="232" t="n"/>
      <c r="F8" s="233" t="n"/>
    </row>
    <row r="9" ht="27.75" customHeight="1" s="225">
      <c r="B9" s="234" t="inlineStr">
        <is>
          <t>3. Ve a «A9» secciones 1 y 2 ANTES de capturar nada: la Evaluación Nacional de Riesgos que tomaste en cuenta, y la conciliación de tus tres cifras contra tu mecanismo automatizado.</t>
        </is>
      </c>
      <c r="C9" s="232" t="n"/>
      <c r="D9" s="232" t="n"/>
      <c r="E9" s="232" t="n"/>
      <c r="F9" s="233" t="n"/>
    </row>
    <row r="10" ht="15" customHeight="1" s="225">
      <c r="B10" s="234" t="inlineStr">
        <is>
          <t>4. En «A1 EXPOSICION» reparte 100% entre Alto/Medio/Bajo en cada indicador y asigna los dos pesos —el del indicador y el del elemento— con su justificación escrita. En «A2» describe qué pasaría si el riesgo se materializa.</t>
        </is>
      </c>
      <c r="C10" s="232" t="n"/>
      <c r="D10" s="232" t="n"/>
      <c r="E10" s="232" t="n"/>
      <c r="F10" s="233" t="n"/>
    </row>
    <row r="11" ht="27.75" customHeight="1" s="225">
      <c r="B11" s="234" t="inlineStr">
        <is>
          <t>5. Revisa el inherente en «A3». En «A4 CONTROLES MINIMOS» califica las 14 obligaciones del Manual (Art. 37 Bis) y anota numeral y evidencia: sin los dos, la obligación cuenta cero. Los controles extra van en «A4 BIS».</t>
        </is>
      </c>
      <c r="C11" s="232" t="n"/>
      <c r="D11" s="232" t="n"/>
      <c r="E11" s="232" t="n"/>
      <c r="F11" s="233" t="n"/>
    </row>
    <row r="12" ht="27.75" customHeight="1" s="225">
      <c r="B12" s="234" t="inlineStr">
        <is>
          <t>6. Lee el residual en «A5» y el resumen en «A6». Cierra en «A8» (tolerancia, fecha de revisión y plan de acción) y en «A9» secciones 3 a 7 (aprobación, plazos y conservación).</t>
        </is>
      </c>
      <c r="C12" s="232" t="n"/>
      <c r="D12" s="232" t="n"/>
      <c r="E12" s="232" t="n"/>
      <c r="F12" s="233" t="n"/>
    </row>
    <row r="13" ht="15" customHeight="1" s="225">
      <c r="B13" s="235" t="inlineStr">
        <is>
          <t>7. APARTE, para clasificar clientes: «PRODUCTOS» con lo que ofreces, «VARIABLES» como catálogo, y «B CLIENTE» uno por uno. Es otra obligación (Art. 23 Bis). Y antes de cada lanzamiento, una ficha en «A7».</t>
        </is>
      </c>
    </row>
    <row r="14" ht="15" customHeight="1" s="225">
      <c r="B14" s="231" t="inlineStr">
        <is>
          <t>LEYENDA</t>
        </is>
      </c>
      <c r="C14" s="232" t="n"/>
      <c r="D14" s="232" t="n"/>
      <c r="E14" s="232" t="n"/>
      <c r="F14" s="233" t="n"/>
    </row>
    <row r="15" ht="15" customHeight="1" s="225">
      <c r="B15" s="236" t="inlineStr">
        <is>
          <t>Amarillo = tú capturas</t>
        </is>
      </c>
      <c r="C15" s="237" t="inlineStr">
        <is>
          <t>Verde = viene de otra hoja</t>
        </is>
      </c>
      <c r="D15" s="238" t="inlineStr">
        <is>
          <t>Negro = se calcula solo</t>
        </is>
      </c>
      <c r="E15" s="232" t="n"/>
      <c r="F15" s="233" t="n"/>
    </row>
    <row r="16" ht="15" customHeight="1" s="225">
      <c r="B16" s="239" t="inlineStr">
        <is>
          <t>Texto azul = dato de ejemplo: sustitúyelo</t>
        </is>
      </c>
      <c r="C16" s="224" t="inlineStr">
        <is>
          <t>Gris = referencia fija: no se edita</t>
        </is>
      </c>
      <c r="D16" s="240" t="inlineStr">
        <is>
          <t>Texto rojo = aviso · Relleno azul = resultado clave</t>
        </is>
      </c>
    </row>
    <row r="17" ht="15" customHeight="1" s="225">
      <c r="B17" s="231" t="inlineStr">
        <is>
          <t>PASO 1 · SELECCIONA TU ACTIVIDAD VULNERABLE</t>
        </is>
      </c>
      <c r="C17" s="232" t="n"/>
      <c r="D17" s="232" t="n"/>
      <c r="E17" s="232" t="n"/>
      <c r="F17" s="233" t="n"/>
    </row>
    <row r="18" ht="15" customHeight="1" s="225">
      <c r="B18" s="241" t="inlineStr">
        <is>
          <t>Actividad Vulnerable:</t>
        </is>
      </c>
      <c r="C18" s="236" t="inlineStr">
        <is>
          <t>V - Construcción/comercialización inmuebles</t>
        </is>
      </c>
      <c r="D18" s="232" t="n"/>
      <c r="E18" s="232" t="n"/>
      <c r="F18" s="233" t="n"/>
    </row>
    <row r="19" ht="15" customHeight="1" s="225">
      <c r="B19" s="241" t="inlineStr">
        <is>
          <t>Fracción Art. 17:</t>
        </is>
      </c>
      <c r="C19" s="242">
        <f>IFERROR(INDEX(CATALOGO!$C$6:$C$35,MATCH($C$18,CATALOGO!$E$6:$E$35,0)),"")</f>
        <v/>
      </c>
    </row>
    <row r="20" ht="15" customHeight="1" s="225">
      <c r="B20" s="241" t="inlineStr">
        <is>
          <t>Umbral de identificación (UMA):</t>
        </is>
      </c>
      <c r="C20" s="243">
        <f>IFERROR(INDEX(CATALOGO!$F$6:$F$35,MATCH($C$18,CATALOGO!$E$6:$E$35,0)),"")</f>
        <v/>
      </c>
      <c r="D20" s="241" t="inlineStr">
        <is>
          <t>Umbral de aviso (UMA):</t>
        </is>
      </c>
      <c r="E20" s="243">
        <f>IFERROR(INDEX(CATALOGO!$G$6:$G$35,MATCH($C$18,CATALOGO!$E$6:$E$35,0)),"")</f>
        <v/>
      </c>
    </row>
    <row r="21" ht="15" customHeight="1" s="225">
      <c r="B21" s="241" t="inlineStr">
        <is>
          <t>Umbral de identificación (MXN):</t>
        </is>
      </c>
      <c r="C21" s="244">
        <f>IFERROR(INDEX(CATALOGO!$H$6:$H$35,MATCH($C$18,CATALOGO!$E$6:$E$35,0)),"")</f>
        <v/>
      </c>
      <c r="D21" s="241" t="inlineStr">
        <is>
          <t>Umbral de aviso (MXN):</t>
        </is>
      </c>
      <c r="E21" s="244">
        <f>IFERROR(INDEX(CATALOGO!$I$6:$I$35,MATCH($C$18,CATALOGO!$E$6:$E$35,0)),"")</f>
        <v/>
      </c>
    </row>
    <row r="23" ht="15" customHeight="1" s="225">
      <c r="B23" s="231" t="inlineStr">
        <is>
          <t>PASO 2 · DATOS DE LA ENTIDAD</t>
        </is>
      </c>
      <c r="C23" s="232" t="n"/>
      <c r="D23" s="232" t="n"/>
      <c r="E23" s="232" t="n"/>
      <c r="F23" s="233" t="n"/>
    </row>
    <row r="24" ht="15" customHeight="1" s="225">
      <c r="B24" s="241" t="inlineStr">
        <is>
          <t>Denominación o razón social:</t>
        </is>
      </c>
      <c r="C24" s="236" t="inlineStr">
        <is>
          <t>Inmobiliaria Ejemplo, S.A. de C.V.</t>
        </is>
      </c>
      <c r="D24" s="232" t="n"/>
      <c r="E24" s="232" t="n"/>
      <c r="F24" s="233" t="n"/>
    </row>
    <row r="25" ht="15" customHeight="1" s="225">
      <c r="B25" s="241" t="inlineStr">
        <is>
          <t>Nombre corto o comercial:</t>
        </is>
      </c>
      <c r="C25" s="236" t="inlineStr">
        <is>
          <t>Inmobiliaria Ejemplo</t>
        </is>
      </c>
      <c r="D25" s="232" t="n"/>
      <c r="E25" s="232" t="n"/>
      <c r="F25" s="233" t="n"/>
    </row>
    <row r="26" ht="23.25" customHeight="1" s="225">
      <c r="B26" s="241" t="inlineStr">
        <is>
          <t>Representante / Encargado de Cumplimiento:</t>
        </is>
      </c>
      <c r="C26" s="236" t="inlineStr">
        <is>
          <t>María Ejemplo Ruiz — Representante Encargada de Cumplimiento</t>
        </is>
      </c>
      <c r="D26" s="232" t="n"/>
      <c r="E26" s="232" t="n"/>
      <c r="F26" s="233" t="n"/>
    </row>
    <row r="27" ht="15" customHeight="1" s="225">
      <c r="B27" s="241" t="inlineStr">
        <is>
          <t>Fecha de la evaluación:</t>
        </is>
      </c>
      <c r="C27" s="245" t="n">
        <v>46204</v>
      </c>
      <c r="D27" s="232" t="n"/>
      <c r="E27" s="232" t="n"/>
      <c r="F27" s="233" t="n"/>
    </row>
    <row r="28" ht="15" customHeight="1" s="225">
      <c r="B28" s="241" t="inlineStr">
        <is>
          <t>Periodo analizado (inicio):</t>
        </is>
      </c>
      <c r="C28" s="245" t="n">
        <v>45839</v>
      </c>
      <c r="D28" s="232" t="n"/>
      <c r="E28" s="232" t="n"/>
      <c r="F28" s="233" t="n"/>
    </row>
    <row r="29" ht="23.25" customHeight="1" s="225">
      <c r="B29" s="241" t="inlineStr">
        <is>
          <t>Periodo analizado (fin, mín. 12 meses):</t>
        </is>
      </c>
      <c r="C29" s="245" t="n">
        <v>46203</v>
      </c>
      <c r="D29" s="232" t="n"/>
      <c r="E29" s="232" t="n"/>
      <c r="F29" s="233" t="n"/>
    </row>
    <row r="31" ht="15" customHeight="1" s="225">
      <c r="B31" s="231" t="inlineStr">
        <is>
          <t>PASO 3 · DATOS DE 12 MESES (base de la evaluación, Art. 10 Septies 2)</t>
        </is>
      </c>
      <c r="C31" s="232" t="n"/>
      <c r="D31" s="232" t="n"/>
      <c r="E31" s="232" t="n"/>
      <c r="F31" s="233" t="n"/>
    </row>
    <row r="32" ht="23.25" customHeight="1" s="225">
      <c r="B32" s="241" t="inlineStr">
        <is>
          <t>Número total de Clientes/Usuarias:</t>
        </is>
      </c>
      <c r="C32" s="246" t="n">
        <v>86</v>
      </c>
    </row>
    <row r="33" ht="23.25" customHeight="1" s="225">
      <c r="B33" s="241" t="inlineStr">
        <is>
          <t>Número total de actos u operaciones:</t>
        </is>
      </c>
      <c r="C33" s="246" t="n">
        <v>112</v>
      </c>
    </row>
    <row r="34" ht="15" customHeight="1" s="225">
      <c r="B34" s="241" t="inlineStr">
        <is>
          <t>Monto total operado (MXN):</t>
        </is>
      </c>
      <c r="C34" s="247" t="n">
        <v>428600000</v>
      </c>
    </row>
    <row r="36" ht="15" customHeight="1" s="225">
      <c r="B36" s="228" t="inlineStr">
        <is>
          <t>Revisa y actualiza al menos cada 12 meses o al actualizarse la ENR. Conserva la documentación 10 años.</t>
        </is>
      </c>
    </row>
    <row r="38" ht="15" customHeight="1" s="225">
      <c r="B38" s="248" t="inlineStr">
        <is>
          <t>ESTADO DE AVANCE — REVÍSALO ANTES DE IMPRIMIR, FIRMAR O ENTREGAR</t>
        </is>
      </c>
    </row>
    <row r="39" ht="15" customHeight="1" s="225">
      <c r="B39" s="249" t="inlineStr">
        <is>
          <t>Verificación</t>
        </is>
      </c>
      <c r="E39" s="249" t="inlineStr">
        <is>
          <t>Dato</t>
        </is>
      </c>
      <c r="F39" s="249" t="inlineStr">
        <is>
          <t>Estatus</t>
        </is>
      </c>
    </row>
    <row r="40" ht="15" customHeight="1" s="225">
      <c r="B40" s="250" t="inlineStr">
        <is>
          <t>Indicadores cuyo reparto Alto/Medio/Bajo no suma 100%</t>
        </is>
      </c>
      <c r="E40" s="251">
        <f>SUMPRODUCT(--('A1 EXPOSICION'!$G$7:$G$31="Sí"),--(ABS('A1 EXPOSICION'!$N$7:$N$31-1)&gt;0.001))</f>
        <v/>
      </c>
      <c r="F40" s="252">
        <f>IF(E40=0,"OK","Corregir")</f>
        <v/>
      </c>
    </row>
    <row r="41" ht="15" customHeight="1" s="225">
      <c r="B41" s="250" t="inlineStr">
        <is>
          <t>Suma de los pesos de los cuatro elementos (debe ser 100%)</t>
        </is>
      </c>
      <c r="E41" s="253">
        <f>'A1 EXPOSICION'!$D$40</f>
        <v/>
      </c>
      <c r="F41" s="252">
        <f>IF(ABS(E41-1)&lt;=0.001,"OK","Corregir")</f>
        <v/>
      </c>
    </row>
    <row r="42" ht="15" customHeight="1" s="225">
      <c r="B42" s="250" t="inlineStr">
        <is>
          <t>Indicadores excluidos sin justificación escrita</t>
        </is>
      </c>
      <c r="E42" s="251">
        <f>'A1 EXPOSICION'!$E$45</f>
        <v/>
      </c>
      <c r="F42" s="252">
        <f>IF(E42=0,"OK","Corregir")</f>
        <v/>
      </c>
    </row>
    <row r="43" ht="15" customHeight="1" s="225">
      <c r="B43" s="250" t="inlineStr">
        <is>
          <t>Obligaciones del catálogo sin calificar</t>
        </is>
      </c>
      <c r="E43" s="251">
        <f>'A4 CONTROLES MINIMOS'!$F$36</f>
        <v/>
      </c>
      <c r="F43" s="252">
        <f>IF(E43=0,"OK","Corregir")</f>
        <v/>
      </c>
    </row>
    <row r="44" ht="15" customHeight="1" s="225">
      <c r="B44" s="250" t="inlineStr">
        <is>
          <t>Obligaciones del catálogo en «No cumple»</t>
        </is>
      </c>
      <c r="E44" s="251">
        <f>'A4 CONTROLES MINIMOS'!$F$33</f>
        <v/>
      </c>
      <c r="F44" s="252">
        <f>IF(E44=0,"OK","Corregir")</f>
        <v/>
      </c>
    </row>
    <row r="45" ht="15" customHeight="1" s="225">
      <c r="B45" s="250" t="inlineStr">
        <is>
          <t>Exclusiones del catálogo sin constancia en el Manual</t>
        </is>
      </c>
      <c r="E45" s="251">
        <f>'A4 CONTROLES MINIMOS'!$F$34</f>
        <v/>
      </c>
      <c r="F45" s="252">
        <f>IF(E45=0,"OK","Corregir")</f>
        <v/>
      </c>
    </row>
    <row r="46" ht="15" customHeight="1" s="225">
      <c r="B46" s="250" t="inlineStr">
        <is>
          <t>Datos obligatorios pendientes en la constancia A9</t>
        </is>
      </c>
      <c r="E46" s="251">
        <f>'A9 CONSTANCIA Y FUENTES'!$D$6</f>
        <v/>
      </c>
      <c r="F46" s="252">
        <f>IF(E46=0,"OK","Corregir")</f>
        <v/>
      </c>
    </row>
    <row r="48" ht="32.25" customHeight="1" s="225">
      <c r="B48" s="254">
        <f>IF(AND(E40=0,ABS(E41-1)&lt;=0.001,E42=0,E43=0,E44=0,E45=0,E46=0),"Evaluación completa: puede imprimirse, aprobarse y conservarse diez años.","Hay verificaciones en «Corregir». La evaluación calcula, pero todavía no es defendible ante un requerimiento.")</f>
        <v/>
      </c>
    </row>
  </sheetData>
  <mergeCells count="20">
    <mergeCell ref="B7:F7"/>
    <mergeCell ref="B31:F31"/>
    <mergeCell ref="C28:F28"/>
    <mergeCell ref="C18:F18"/>
    <mergeCell ref="B12:F12"/>
    <mergeCell ref="B11:F11"/>
    <mergeCell ref="B23:F23"/>
    <mergeCell ref="B14:F14"/>
    <mergeCell ref="C24:F24"/>
    <mergeCell ref="B8:F8"/>
    <mergeCell ref="D15:F15"/>
    <mergeCell ref="B17:F17"/>
    <mergeCell ref="B10:F10"/>
    <mergeCell ref="C26:F26"/>
    <mergeCell ref="C29:F29"/>
    <mergeCell ref="C25:F25"/>
    <mergeCell ref="B9:F9"/>
    <mergeCell ref="B6:F6"/>
    <mergeCell ref="B36:F36"/>
    <mergeCell ref="C27:F27"/>
  </mergeCells>
  <dataValidations count="1">
    <dataValidation sqref="C18" showDropDown="0" showInputMessage="0" showErrorMessage="0" allowBlank="0" type="list" errorStyle="stop" operator="between">
      <formula1>CATALOGO!$E$6:$E$35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FFC000"/>
    <outlinePr summaryBelow="1" summaryRight="1"/>
    <pageSetUpPr fitToPage="0"/>
  </sheetPr>
  <dimension ref="B2:S46"/>
  <sheetViews>
    <sheetView showFormulas="0" showGridLines="0" showRowColHeaders="1" showZeros="1" rightToLeft="0" tabSelected="0" showOutlineSymbols="1" defaultGridColor="1"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baseColWidth="8" defaultColWidth="8.6796875" defaultRowHeight="15" zeroHeight="0" outlineLevelRow="0"/>
  <cols>
    <col width="2" customWidth="1" style="224" min="1" max="1"/>
    <col width="5" customWidth="1" style="224" min="2" max="2"/>
    <col width="4" customWidth="1" style="224" min="3" max="3"/>
    <col width="30" customWidth="1" style="224" min="4" max="4"/>
    <col width="9" customWidth="1" style="224" min="5" max="5"/>
    <col width="7" customWidth="1" style="224" min="6" max="7"/>
    <col width="30" customWidth="1" style="224" min="8" max="10"/>
    <col width="7" customWidth="1" style="224" min="11" max="17"/>
    <col width="8" customWidth="1" style="224" min="18" max="18"/>
    <col width="34" customWidth="1" style="224" min="19" max="19"/>
  </cols>
  <sheetData>
    <row r="2" ht="21.75" customHeight="1" s="225">
      <c r="B2" s="255" t="inlineStr">
        <is>
          <t>A1 · EXPOSICIÓN — Captura tu concentración de negocio (12 meses)</t>
        </is>
      </c>
    </row>
    <row r="3" ht="15" customHeight="1" s="225">
      <c r="B3" s="256" t="inlineStr">
        <is>
          <t>Por cada indicador reparte el 100% entre Alto/Medio/Bajo. Calificación = qué tan riesgoso; Concentración = qué tan expuesto; Riesgo = Calif × Conc. Un indicador en «No» sale del numerador y del denominador.</t>
        </is>
      </c>
    </row>
    <row r="4" ht="15" customHeight="1" s="225">
      <c r="B4" s="230" t="inlineStr">
        <is>
          <t>Paso 3 de 10  ·  Viene de: A9 §1 y §2  ·  Sigue: A2 CONSECUENCIAS</t>
        </is>
      </c>
    </row>
    <row r="5" ht="15" customHeight="1" s="225">
      <c r="B5" s="257" t="inlineStr">
        <is>
          <t>OJO · La unidad del reparto cambia según el indicador: en unos el 100 % se reparte sobre el NÚMERO DE CLIENTES o de operaciones, y en otros sobre los MONTOS OPERADOS (por ejemplo tipo de moneda, monto frente a umbrales o instrumento monetario). Lee la columna «Guía» de cada renglón antes de capturar, y anota en «Justificación» sobre qué lo repartiste.</t>
        </is>
      </c>
      <c r="G5" s="258" t="inlineStr">
        <is>
          <t>GRIS = obligatorio (139 Quáter / 400 Bis): no admite «No». AMARILLO = tú decides si aplica.</t>
        </is>
      </c>
    </row>
    <row r="6" ht="27.75" customHeight="1" s="225">
      <c r="B6" s="231" t="inlineStr">
        <is>
          <t>Elem.</t>
        </is>
      </c>
      <c r="C6" s="231" t="inlineStr">
        <is>
          <t>#</t>
        </is>
      </c>
      <c r="D6" s="231" t="inlineStr">
        <is>
          <t>Indicador</t>
        </is>
      </c>
      <c r="E6" s="231" t="inlineStr">
        <is>
          <t>Atiende</t>
        </is>
      </c>
      <c r="F6" s="231" t="inlineStr">
        <is>
          <t>Fuente</t>
        </is>
      </c>
      <c r="G6" s="231" t="inlineStr">
        <is>
          <t>Aplica</t>
        </is>
      </c>
      <c r="H6" s="231" t="inlineStr">
        <is>
          <t>Guía ALTO</t>
        </is>
      </c>
      <c r="I6" s="231" t="inlineStr">
        <is>
          <t>Guía MEDIO</t>
        </is>
      </c>
      <c r="J6" s="231" t="inlineStr">
        <is>
          <t>Guía BAJO</t>
        </is>
      </c>
      <c r="K6" s="231" t="inlineStr">
        <is>
          <t>% Alto</t>
        </is>
      </c>
      <c r="L6" s="231" t="inlineStr">
        <is>
          <t>% Medio</t>
        </is>
      </c>
      <c r="M6" s="231" t="inlineStr">
        <is>
          <t>% Bajo</t>
        </is>
      </c>
      <c r="N6" s="231" t="inlineStr">
        <is>
          <t>Suma</t>
        </is>
      </c>
      <c r="O6" s="231" t="inlineStr">
        <is>
          <t>Peso (relativo dentro del elemento)</t>
        </is>
      </c>
      <c r="P6" s="231" t="inlineStr">
        <is>
          <t>Calif.</t>
        </is>
      </c>
      <c r="Q6" s="231" t="inlineStr">
        <is>
          <t>Conc.</t>
        </is>
      </c>
      <c r="R6" s="231" t="inlineStr">
        <is>
          <t>Riesgo</t>
        </is>
      </c>
      <c r="S6" s="231" t="inlineStr">
        <is>
          <t>Justificación (del No aplica o del peso)</t>
        </is>
      </c>
    </row>
    <row r="7" ht="45.75" customHeight="1" s="225">
      <c r="B7" s="259" t="n">
        <v>1</v>
      </c>
      <c r="C7" s="260" t="n">
        <v>1</v>
      </c>
      <c r="D7" s="261" t="inlineStr">
        <is>
          <t>Valor unitario de la operación</t>
        </is>
      </c>
      <c r="E7" s="260" t="n"/>
      <c r="F7" s="262" t="inlineStr">
        <is>
          <t>B</t>
        </is>
      </c>
      <c r="G7" s="263" t="inlineStr">
        <is>
          <t>Sí</t>
        </is>
      </c>
      <c r="H7" s="264">
        <f>IFERROR(INDEX(BASE!$E:$E,MATCH(INICIO!$C$18&amp;"-"&amp;$C7,BASE!$A:$A,0)),"")</f>
        <v/>
      </c>
      <c r="I7" s="264">
        <f>IFERROR(INDEX(BASE!$F:$F,MATCH(INICIO!$C$18&amp;"-"&amp;$C7,BASE!$A:$A,0)),"")</f>
        <v/>
      </c>
      <c r="J7" s="264">
        <f>IFERROR(INDEX(BASE!$G:$G,MATCH(INICIO!$C$18&amp;"-"&amp;$C7,BASE!$A:$A,0)),"")</f>
        <v/>
      </c>
      <c r="K7" s="265" t="n">
        <v>0.2</v>
      </c>
      <c r="L7" s="265" t="n">
        <v>0.35</v>
      </c>
      <c r="M7" s="265" t="n">
        <v>0.45</v>
      </c>
      <c r="N7" s="266">
        <f>K7+L7+M7</f>
        <v/>
      </c>
      <c r="O7" s="265" t="n">
        <v>0.3</v>
      </c>
      <c r="P7" s="267">
        <f>IF($G7="No",0,ROUND(5*K7+3*L7+1*M7,0))</f>
        <v/>
      </c>
      <c r="Q7" s="267">
        <f>IF($G7="No",0,ROUND(1+4*(K7+L7),0))</f>
        <v/>
      </c>
      <c r="R7" s="267">
        <f>P7*Q7</f>
        <v/>
      </c>
      <c r="S7" s="268" t="inlineStr">
        <is>
          <t>Es el elemento de mayor exposicion del giro: el ticket promedio del periodo supera por si solo el umbral de aviso, de modo que casi toda la operacion nace ya dentro del regimen.</t>
        </is>
      </c>
    </row>
    <row r="8" ht="45.75" customHeight="1" s="225">
      <c r="B8" s="259" t="n">
        <v>1</v>
      </c>
      <c r="C8" s="260" t="n">
        <v>2</v>
      </c>
      <c r="D8" s="261" t="inlineStr">
        <is>
          <t>Liquidez: facilidad de convertir en dinero</t>
        </is>
      </c>
      <c r="E8" s="260" t="n"/>
      <c r="F8" s="262" t="inlineStr">
        <is>
          <t>B</t>
        </is>
      </c>
      <c r="G8" s="263" t="inlineStr">
        <is>
          <t>Sí</t>
        </is>
      </c>
      <c r="H8" s="264">
        <f>IFERROR(INDEX(BASE!$E:$E,MATCH(INICIO!$C$18&amp;"-"&amp;$C8,BASE!$A:$A,0)),"")</f>
        <v/>
      </c>
      <c r="I8" s="264">
        <f>IFERROR(INDEX(BASE!$F:$F,MATCH(INICIO!$C$18&amp;"-"&amp;$C8,BASE!$A:$A,0)),"")</f>
        <v/>
      </c>
      <c r="J8" s="264">
        <f>IFERROR(INDEX(BASE!$G:$G,MATCH(INICIO!$C$18&amp;"-"&amp;$C8,BASE!$A:$A,0)),"")</f>
        <v/>
      </c>
      <c r="K8" s="265" t="n">
        <v>0.15</v>
      </c>
      <c r="L8" s="265" t="n">
        <v>0.3</v>
      </c>
      <c r="M8" s="265" t="n">
        <v>0.55</v>
      </c>
      <c r="N8" s="266">
        <f>K8+L8+M8</f>
        <v/>
      </c>
      <c r="O8" s="265" t="n">
        <v>0.1</v>
      </c>
      <c r="P8" s="267">
        <f>IF($G8="No",0,ROUND(5*K8+3*L8+1*M8,0))</f>
        <v/>
      </c>
      <c r="Q8" s="267">
        <f>IF($G8="No",0,ROUND(1+4*(K8+L8),0))</f>
        <v/>
      </c>
      <c r="R8" s="267">
        <f>P8*Q8</f>
        <v/>
      </c>
      <c r="S8" s="268" t="inlineStr">
        <is>
          <t>El inmueble es el activo menos liquido del catalogo del Art. 17; la conversion exige escritura publica y registro, lo que reduce su atractivo para colocacion rapida.</t>
        </is>
      </c>
    </row>
    <row r="9" ht="45.75" customHeight="1" s="225">
      <c r="B9" s="259" t="n">
        <v>1</v>
      </c>
      <c r="C9" s="260" t="n">
        <v>3</v>
      </c>
      <c r="D9" s="261" t="inlineStr">
        <is>
          <t>Anonimato: si el beneficiario queda a la vista</t>
        </is>
      </c>
      <c r="E9" s="260" t="n"/>
      <c r="F9" s="262" t="inlineStr">
        <is>
          <t>B</t>
        </is>
      </c>
      <c r="G9" s="263" t="inlineStr">
        <is>
          <t>Sí</t>
        </is>
      </c>
      <c r="H9" s="264">
        <f>IFERROR(INDEX(BASE!$E:$E,MATCH(INICIO!$C$18&amp;"-"&amp;$C9,BASE!$A:$A,0)),"")</f>
        <v/>
      </c>
      <c r="I9" s="264">
        <f>IFERROR(INDEX(BASE!$F:$F,MATCH(INICIO!$C$18&amp;"-"&amp;$C9,BASE!$A:$A,0)),"")</f>
        <v/>
      </c>
      <c r="J9" s="264">
        <f>IFERROR(INDEX(BASE!$G:$G,MATCH(INICIO!$C$18&amp;"-"&amp;$C9,BASE!$A:$A,0)),"")</f>
        <v/>
      </c>
      <c r="K9" s="265" t="n">
        <v>0.45</v>
      </c>
      <c r="L9" s="265" t="n">
        <v>0.3</v>
      </c>
      <c r="M9" s="265" t="n">
        <v>0.25</v>
      </c>
      <c r="N9" s="266">
        <f>K9+L9+M9</f>
        <v/>
      </c>
      <c r="O9" s="265" t="n">
        <v>0.25</v>
      </c>
      <c r="P9" s="267">
        <f>IF($G9="No",0,ROUND(5*K9+3*L9+1*M9,0))</f>
        <v/>
      </c>
      <c r="Q9" s="267">
        <f>IF($G9="No",0,ROUND(1+4*(K9+L9),0))</f>
        <v/>
      </c>
      <c r="R9" s="267">
        <f>P9*Q9</f>
        <v/>
      </c>
      <c r="S9" s="268" t="inlineStr">
        <is>
          <t>Peso alto: la interposicion de terceros y la compra a traves de personas morales de reciente constitucion es la tipologia inmobiliaria dominante en la ENR.</t>
        </is>
      </c>
    </row>
    <row r="10" ht="45.75" customHeight="1" s="225">
      <c r="B10" s="259" t="n">
        <v>1</v>
      </c>
      <c r="C10" s="260" t="n">
        <v>4</v>
      </c>
      <c r="D10" s="261" t="inlineStr">
        <is>
          <t>Ocultamiento de valor en el precio</t>
        </is>
      </c>
      <c r="E10" s="269" t="inlineStr">
        <is>
          <t>400 Bis</t>
        </is>
      </c>
      <c r="F10" s="262" t="inlineStr">
        <is>
          <t>B</t>
        </is>
      </c>
      <c r="G10" s="270" t="inlineStr">
        <is>
          <t>Sí</t>
        </is>
      </c>
      <c r="H10" s="264">
        <f>IFERROR(INDEX(BASE!$E:$E,MATCH(INICIO!$C$18&amp;"-"&amp;$C10,BASE!$A:$A,0)),"")</f>
        <v/>
      </c>
      <c r="I10" s="264">
        <f>IFERROR(INDEX(BASE!$F:$F,MATCH(INICIO!$C$18&amp;"-"&amp;$C10,BASE!$A:$A,0)),"")</f>
        <v/>
      </c>
      <c r="J10" s="264">
        <f>IFERROR(INDEX(BASE!$G:$G,MATCH(INICIO!$C$18&amp;"-"&amp;$C10,BASE!$A:$A,0)),"")</f>
        <v/>
      </c>
      <c r="K10" s="265" t="n">
        <v>0.35</v>
      </c>
      <c r="L10" s="265" t="n">
        <v>0.35</v>
      </c>
      <c r="M10" s="265" t="n">
        <v>0.3</v>
      </c>
      <c r="N10" s="266">
        <f>K10+L10+M10</f>
        <v/>
      </c>
      <c r="O10" s="265" t="n">
        <v>0.25</v>
      </c>
      <c r="P10" s="267">
        <f>IF($G10="No",0,ROUND(5*K10+3*L10+1*M10,0))</f>
        <v/>
      </c>
      <c r="Q10" s="267">
        <f>IF($G10="No",0,ROUND(1+4*(K10+L10),0))</f>
        <v/>
      </c>
      <c r="R10" s="267">
        <f>P10*Q10</f>
        <v/>
      </c>
      <c r="S10" s="268" t="inlineStr">
        <is>
          <t>Peso alto por mandato del ultimo parrafo del Art. 10 Septies 1: es el indicador de 400 Bis del elemento, y la transferencia de valor via inmueble es el mecanismo tipico de integracion.</t>
        </is>
      </c>
    </row>
    <row r="11" ht="45.75" customHeight="1" s="225">
      <c r="B11" s="259" t="n">
        <v>1</v>
      </c>
      <c r="C11" s="260" t="n">
        <v>5</v>
      </c>
      <c r="D11" s="261" t="inlineStr">
        <is>
          <t>Exposición a personas señaladas por terrorismo</t>
        </is>
      </c>
      <c r="E11" s="271" t="inlineStr">
        <is>
          <t>139 Quáter</t>
        </is>
      </c>
      <c r="F11" s="262" t="inlineStr">
        <is>
          <t>B</t>
        </is>
      </c>
      <c r="G11" s="270" t="inlineStr">
        <is>
          <t>Sí</t>
        </is>
      </c>
      <c r="H11" s="264">
        <f>IFERROR(INDEX(BASE!$E:$E,MATCH(INICIO!$C$18&amp;"-"&amp;$C11,BASE!$A:$A,0)),"")</f>
        <v/>
      </c>
      <c r="I11" s="264">
        <f>IFERROR(INDEX(BASE!$F:$F,MATCH(INICIO!$C$18&amp;"-"&amp;$C11,BASE!$A:$A,0)),"")</f>
        <v/>
      </c>
      <c r="J11" s="264">
        <f>IFERROR(INDEX(BASE!$G:$G,MATCH(INICIO!$C$18&amp;"-"&amp;$C11,BASE!$A:$A,0)),"")</f>
        <v/>
      </c>
      <c r="K11" s="265" t="n">
        <v>0.1</v>
      </c>
      <c r="L11" s="265" t="n">
        <v>0.2</v>
      </c>
      <c r="M11" s="265" t="n">
        <v>0.7</v>
      </c>
      <c r="N11" s="266">
        <f>K11+L11+M11</f>
        <v/>
      </c>
      <c r="O11" s="265" t="n">
        <v>0.1</v>
      </c>
      <c r="P11" s="267">
        <f>IF($G11="No",0,ROUND(5*K11+3*L11+1*M11,0))</f>
        <v/>
      </c>
      <c r="Q11" s="267">
        <f>IF($G11="No",0,ROUND(1+4*(K11+L11),0))</f>
        <v/>
      </c>
      <c r="R11" s="267">
        <f>P11*Q11</f>
        <v/>
      </c>
      <c r="S11" s="268" t="inlineStr">
        <is>
          <t>Se mantiene por obligacion normativa como indicador de 139 Quater del elemento, con peso bajo: no se detectaron contrapartes ni destinos vinculados a financiamiento al terrorismo en el periodo.</t>
        </is>
      </c>
    </row>
    <row r="12" ht="45.75" customHeight="1" s="225">
      <c r="B12" s="259" t="n">
        <v>2</v>
      </c>
      <c r="C12" s="260" t="n">
        <v>6</v>
      </c>
      <c r="D12" s="261" t="inlineStr">
        <is>
          <t>Tipo de persona</t>
        </is>
      </c>
      <c r="E12" s="260" t="n"/>
      <c r="F12" s="262" t="inlineStr">
        <is>
          <t>A</t>
        </is>
      </c>
      <c r="G12" s="263" t="inlineStr">
        <is>
          <t>Sí</t>
        </is>
      </c>
      <c r="H12" s="264">
        <f>IFERROR(INDEX(BASE!$E:$E,MATCH(INICIO!$C$18&amp;"-"&amp;$C12,BASE!$A:$A,0)),"")</f>
        <v/>
      </c>
      <c r="I12" s="264">
        <f>IFERROR(INDEX(BASE!$F:$F,MATCH(INICIO!$C$18&amp;"-"&amp;$C12,BASE!$A:$A,0)),"")</f>
        <v/>
      </c>
      <c r="J12" s="264">
        <f>IFERROR(INDEX(BASE!$G:$G,MATCH(INICIO!$C$18&amp;"-"&amp;$C12,BASE!$A:$A,0)),"")</f>
        <v/>
      </c>
      <c r="K12" s="265" t="n">
        <v>0.3</v>
      </c>
      <c r="L12" s="265" t="n">
        <v>0.35</v>
      </c>
      <c r="M12" s="265" t="n">
        <v>0.35</v>
      </c>
      <c r="N12" s="266">
        <f>K12+L12+M12</f>
        <v/>
      </c>
      <c r="O12" s="265" t="n">
        <v>0.18</v>
      </c>
      <c r="P12" s="267">
        <f>IF($G12="No",0,ROUND(5*K12+3*L12+1*M12,0))</f>
        <v/>
      </c>
      <c r="Q12" s="267">
        <f>IF($G12="No",0,ROUND(1+4*(K12+L12),0))</f>
        <v/>
      </c>
      <c r="R12" s="267">
        <f>P12*Q12</f>
        <v/>
      </c>
      <c r="S12" s="268" t="inlineStr">
        <is>
          <t>La estructura del cliente es el primer discriminante del giro: persona moral con socios no identificables concentra la mayor parte de las alertas del periodo.</t>
        </is>
      </c>
    </row>
    <row r="13" ht="45.75" customHeight="1" s="225">
      <c r="B13" s="259" t="n">
        <v>2</v>
      </c>
      <c r="C13" s="260" t="n">
        <v>7</v>
      </c>
      <c r="D13" s="261" t="inlineStr">
        <is>
          <t>Antigüedad del Cliente</t>
        </is>
      </c>
      <c r="E13" s="260" t="n"/>
      <c r="F13" s="262" t="inlineStr">
        <is>
          <t>A</t>
        </is>
      </c>
      <c r="G13" s="263" t="inlineStr">
        <is>
          <t>Sí</t>
        </is>
      </c>
      <c r="H13" s="264">
        <f>IFERROR(INDEX(BASE!$E:$E,MATCH(INICIO!$C$18&amp;"-"&amp;$C13,BASE!$A:$A,0)),"")</f>
        <v/>
      </c>
      <c r="I13" s="264">
        <f>IFERROR(INDEX(BASE!$F:$F,MATCH(INICIO!$C$18&amp;"-"&amp;$C13,BASE!$A:$A,0)),"")</f>
        <v/>
      </c>
      <c r="J13" s="264">
        <f>IFERROR(INDEX(BASE!$G:$G,MATCH(INICIO!$C$18&amp;"-"&amp;$C13,BASE!$A:$A,0)),"")</f>
        <v/>
      </c>
      <c r="K13" s="265" t="n">
        <v>0.15</v>
      </c>
      <c r="L13" s="265" t="n">
        <v>0.3</v>
      </c>
      <c r="M13" s="265" t="n">
        <v>0.55</v>
      </c>
      <c r="N13" s="266">
        <f>K13+L13+M13</f>
        <v/>
      </c>
      <c r="O13" s="265" t="n">
        <v>0.08</v>
      </c>
      <c r="P13" s="267">
        <f>IF($G13="No",0,ROUND(5*K13+3*L13+1*M13,0))</f>
        <v/>
      </c>
      <c r="Q13" s="267">
        <f>IF($G13="No",0,ROUND(1+4*(K13+L13),0))</f>
        <v/>
      </c>
      <c r="R13" s="267">
        <f>P13*Q13</f>
        <v/>
      </c>
      <c r="S13" s="268" t="inlineStr">
        <is>
          <t>Peso bajo: la antiguedad por si sola discrimina poco, pero se conserva porque la sociedad constituida en el mismo ejercicio de la compra es senal de alerta reconocida.</t>
        </is>
      </c>
    </row>
    <row r="14" ht="45.75" customHeight="1" s="225">
      <c r="B14" s="259" t="n">
        <v>2</v>
      </c>
      <c r="C14" s="260" t="n">
        <v>8</v>
      </c>
      <c r="D14" s="261" t="inlineStr">
        <is>
          <t>Giro o actividad declarada</t>
        </is>
      </c>
      <c r="E14" s="260" t="n"/>
      <c r="F14" s="262" t="inlineStr">
        <is>
          <t>A</t>
        </is>
      </c>
      <c r="G14" s="263" t="inlineStr">
        <is>
          <t>Sí</t>
        </is>
      </c>
      <c r="H14" s="264">
        <f>IFERROR(INDEX(BASE!$E:$E,MATCH(INICIO!$C$18&amp;"-"&amp;$C14,BASE!$A:$A,0)),"")</f>
        <v/>
      </c>
      <c r="I14" s="264">
        <f>IFERROR(INDEX(BASE!$F:$F,MATCH(INICIO!$C$18&amp;"-"&amp;$C14,BASE!$A:$A,0)),"")</f>
        <v/>
      </c>
      <c r="J14" s="264">
        <f>IFERROR(INDEX(BASE!$G:$G,MATCH(INICIO!$C$18&amp;"-"&amp;$C14,BASE!$A:$A,0)),"")</f>
        <v/>
      </c>
      <c r="K14" s="265" t="n">
        <v>0.4</v>
      </c>
      <c r="L14" s="265" t="n">
        <v>0.3</v>
      </c>
      <c r="M14" s="265" t="n">
        <v>0.3</v>
      </c>
      <c r="N14" s="266">
        <f>K14+L14+M14</f>
        <v/>
      </c>
      <c r="O14" s="265" t="n">
        <v>0.15</v>
      </c>
      <c r="P14" s="267">
        <f>IF($G14="No",0,ROUND(5*K14+3*L14+1*M14,0))</f>
        <v/>
      </c>
      <c r="Q14" s="267">
        <f>IF($G14="No",0,ROUND(1+4*(K14+L14),0))</f>
        <v/>
      </c>
      <c r="R14" s="267">
        <f>P14*Q14</f>
        <v/>
      </c>
      <c r="S14" s="268" t="inlineStr">
        <is>
          <t>El giro del cliente explica la congruencia entre el precio del inmueble y su capacidad economica declarada; es la pregunta que abre cualquier revision.</t>
        </is>
      </c>
    </row>
    <row r="15" ht="45.75" customHeight="1" s="225">
      <c r="B15" s="259" t="n">
        <v>2</v>
      </c>
      <c r="C15" s="260" t="n">
        <v>9</v>
      </c>
      <c r="D15" s="261" t="inlineStr">
        <is>
          <t>Nacionalidad</t>
        </is>
      </c>
      <c r="E15" s="260" t="n"/>
      <c r="F15" s="262" t="inlineStr">
        <is>
          <t>A</t>
        </is>
      </c>
      <c r="G15" s="263" t="inlineStr">
        <is>
          <t>Sí</t>
        </is>
      </c>
      <c r="H15" s="264">
        <f>IFERROR(INDEX(BASE!$E:$E,MATCH(INICIO!$C$18&amp;"-"&amp;$C15,BASE!$A:$A,0)),"")</f>
        <v/>
      </c>
      <c r="I15" s="264">
        <f>IFERROR(INDEX(BASE!$F:$F,MATCH(INICIO!$C$18&amp;"-"&amp;$C15,BASE!$A:$A,0)),"")</f>
        <v/>
      </c>
      <c r="J15" s="264">
        <f>IFERROR(INDEX(BASE!$G:$G,MATCH(INICIO!$C$18&amp;"-"&amp;$C15,BASE!$A:$A,0)),"")</f>
        <v/>
      </c>
      <c r="K15" s="265" t="n">
        <v>0.1</v>
      </c>
      <c r="L15" s="265" t="n">
        <v>0.25</v>
      </c>
      <c r="M15" s="265" t="n">
        <v>0.65</v>
      </c>
      <c r="N15" s="266">
        <f>K15+L15+M15</f>
        <v/>
      </c>
      <c r="O15" s="265" t="n">
        <v>0.07000000000000001</v>
      </c>
      <c r="P15" s="267">
        <f>IF($G15="No",0,ROUND(5*K15+3*L15+1*M15,0))</f>
        <v/>
      </c>
      <c r="Q15" s="267">
        <f>IF($G15="No",0,ROUND(1+4*(K15+L15),0))</f>
        <v/>
      </c>
      <c r="R15" s="267">
        <f>P15*Q15</f>
        <v/>
      </c>
      <c r="S15" s="268" t="inlineStr">
        <is>
          <t>Peso bajo: la nacionalidad aisladamente no explica riesgo. Su efecto real se mide en el indicador de residencia y en el elemento 3.</t>
        </is>
      </c>
    </row>
    <row r="16" ht="45.75" customHeight="1" s="225">
      <c r="B16" s="259" t="n">
        <v>2</v>
      </c>
      <c r="C16" s="260" t="n">
        <v>10</v>
      </c>
      <c r="D16" s="261" t="inlineStr">
        <is>
          <t>País y entidad de residencia</t>
        </is>
      </c>
      <c r="E16" s="260" t="n"/>
      <c r="F16" s="262" t="inlineStr">
        <is>
          <t>A</t>
        </is>
      </c>
      <c r="G16" s="263" t="inlineStr">
        <is>
          <t>Sí</t>
        </is>
      </c>
      <c r="H16" s="264">
        <f>IFERROR(INDEX(BASE!$E:$E,MATCH(INICIO!$C$18&amp;"-"&amp;$C16,BASE!$A:$A,0)),"")</f>
        <v/>
      </c>
      <c r="I16" s="264">
        <f>IFERROR(INDEX(BASE!$F:$F,MATCH(INICIO!$C$18&amp;"-"&amp;$C16,BASE!$A:$A,0)),"")</f>
        <v/>
      </c>
      <c r="J16" s="264">
        <f>IFERROR(INDEX(BASE!$G:$G,MATCH(INICIO!$C$18&amp;"-"&amp;$C16,BASE!$A:$A,0)),"")</f>
        <v/>
      </c>
      <c r="K16" s="265" t="n">
        <v>0.15</v>
      </c>
      <c r="L16" s="265" t="n">
        <v>0.25</v>
      </c>
      <c r="M16" s="265" t="n">
        <v>0.6</v>
      </c>
      <c r="N16" s="266">
        <f>K16+L16+M16</f>
        <v/>
      </c>
      <c r="O16" s="265" t="n">
        <v>0.1</v>
      </c>
      <c r="P16" s="267">
        <f>IF($G16="No",0,ROUND(5*K16+3*L16+1*M16,0))</f>
        <v/>
      </c>
      <c r="Q16" s="267">
        <f>IF($G16="No",0,ROUND(1+4*(K16+L16),0))</f>
        <v/>
      </c>
      <c r="R16" s="267">
        <f>P16*Q16</f>
        <v/>
      </c>
      <c r="S16" s="268" t="inlineStr">
        <is>
          <t>Peso medio bajo: la residencia fuera de la plaza donde esta el inmueble es senal util, pero se pondera junto con el indicador 17 para no contar dos veces lo mismo.</t>
        </is>
      </c>
    </row>
    <row r="17" ht="45.75" customHeight="1" s="225">
      <c r="B17" s="259" t="n">
        <v>2</v>
      </c>
      <c r="C17" s="260" t="n">
        <v>11</v>
      </c>
      <c r="D17" s="261" t="inlineStr">
        <is>
          <t>Condición de Persona Políticamente Expuesta</t>
        </is>
      </c>
      <c r="E17" s="269" t="inlineStr">
        <is>
          <t>400 Bis</t>
        </is>
      </c>
      <c r="F17" s="262" t="inlineStr">
        <is>
          <t>D</t>
        </is>
      </c>
      <c r="G17" s="270" t="inlineStr">
        <is>
          <t>Sí</t>
        </is>
      </c>
      <c r="H17" s="264">
        <f>IFERROR(INDEX(BASE!$E:$E,MATCH(INICIO!$C$18&amp;"-"&amp;$C17,BASE!$A:$A,0)),"")</f>
        <v/>
      </c>
      <c r="I17" s="264">
        <f>IFERROR(INDEX(BASE!$F:$F,MATCH(INICIO!$C$18&amp;"-"&amp;$C17,BASE!$A:$A,0)),"")</f>
        <v/>
      </c>
      <c r="J17" s="264">
        <f>IFERROR(INDEX(BASE!$G:$G,MATCH(INICIO!$C$18&amp;"-"&amp;$C17,BASE!$A:$A,0)),"")</f>
        <v/>
      </c>
      <c r="K17" s="265" t="n">
        <v>0.2</v>
      </c>
      <c r="L17" s="265" t="n">
        <v>0.2</v>
      </c>
      <c r="M17" s="265" t="n">
        <v>0.6</v>
      </c>
      <c r="N17" s="266">
        <f>K17+L17+M17</f>
        <v/>
      </c>
      <c r="O17" s="265" t="n">
        <v>0.14</v>
      </c>
      <c r="P17" s="267">
        <f>IF($G17="No",0,ROUND(5*K17+3*L17+1*M17,0))</f>
        <v/>
      </c>
      <c r="Q17" s="267">
        <f>IF($G17="No",0,ROUND(1+4*(K17+L17),0))</f>
        <v/>
      </c>
      <c r="R17" s="267">
        <f>P17*Q17</f>
        <v/>
      </c>
      <c r="S17" s="268" t="inlineStr">
        <is>
          <t>Indicador de 400 Bis del elemento. Peso relevante: la condicion PEP dispara seguimiento reforzado por el Art. 23 Bis 3, y la PEP extranjera fuerza grado alto por el Art. 23 Bis 4.</t>
        </is>
      </c>
    </row>
    <row r="18" ht="45.75" customHeight="1" s="225">
      <c r="B18" s="259" t="n">
        <v>2</v>
      </c>
      <c r="C18" s="260" t="n">
        <v>12</v>
      </c>
      <c r="D18" s="261" t="inlineStr">
        <is>
          <t>Resultado de la búsqueda en listas</t>
        </is>
      </c>
      <c r="E18" s="271" t="inlineStr">
        <is>
          <t>139 Quáter</t>
        </is>
      </c>
      <c r="F18" s="262" t="inlineStr">
        <is>
          <t>D</t>
        </is>
      </c>
      <c r="G18" s="270" t="inlineStr">
        <is>
          <t>Sí</t>
        </is>
      </c>
      <c r="H18" s="264">
        <f>IFERROR(INDEX(BASE!$E:$E,MATCH(INICIO!$C$18&amp;"-"&amp;$C18,BASE!$A:$A,0)),"")</f>
        <v/>
      </c>
      <c r="I18" s="264">
        <f>IFERROR(INDEX(BASE!$F:$F,MATCH(INICIO!$C$18&amp;"-"&amp;$C18,BASE!$A:$A,0)),"")</f>
        <v/>
      </c>
      <c r="J18" s="264">
        <f>IFERROR(INDEX(BASE!$G:$G,MATCH(INICIO!$C$18&amp;"-"&amp;$C18,BASE!$A:$A,0)),"")</f>
        <v/>
      </c>
      <c r="K18" s="265" t="n">
        <v>0.05</v>
      </c>
      <c r="L18" s="265" t="n">
        <v>0.15</v>
      </c>
      <c r="M18" s="265" t="n">
        <v>0.8</v>
      </c>
      <c r="N18" s="266">
        <f>K18+L18+M18</f>
        <v/>
      </c>
      <c r="O18" s="265" t="n">
        <v>0.1</v>
      </c>
      <c r="P18" s="267">
        <f>IF($G18="No",0,ROUND(5*K18+3*L18+1*M18,0))</f>
        <v/>
      </c>
      <c r="Q18" s="267">
        <f>IF($G18="No",0,ROUND(1+4*(K18+L18),0))</f>
        <v/>
      </c>
      <c r="R18" s="267">
        <f>P18*Q18</f>
        <v/>
      </c>
      <c r="S18" s="268" t="inlineStr">
        <is>
          <t>Indicador de 139 Quater del elemento. Peso contenido porque la validacion contra listas esta automatizada y se ejecuta al 100% de las operaciones.</t>
        </is>
      </c>
    </row>
    <row r="19" ht="45.75" customHeight="1" s="225">
      <c r="B19" s="259" t="n">
        <v>2</v>
      </c>
      <c r="C19" s="260" t="n">
        <v>13</v>
      </c>
      <c r="D19" s="261" t="inlineStr">
        <is>
          <t>Profundidad de la cadena de control</t>
        </is>
      </c>
      <c r="E19" s="269" t="inlineStr">
        <is>
          <t>400 Bis</t>
        </is>
      </c>
      <c r="F19" s="262" t="inlineStr">
        <is>
          <t>A</t>
        </is>
      </c>
      <c r="G19" s="270" t="inlineStr">
        <is>
          <t>Sí</t>
        </is>
      </c>
      <c r="H19" s="264">
        <f>IFERROR(INDEX(BASE!$E:$E,MATCH(INICIO!$C$18&amp;"-"&amp;$C19,BASE!$A:$A,0)),"")</f>
        <v/>
      </c>
      <c r="I19" s="264">
        <f>IFERROR(INDEX(BASE!$F:$F,MATCH(INICIO!$C$18&amp;"-"&amp;$C19,BASE!$A:$A,0)),"")</f>
        <v/>
      </c>
      <c r="J19" s="264">
        <f>IFERROR(INDEX(BASE!$G:$G,MATCH(INICIO!$C$18&amp;"-"&amp;$C19,BASE!$A:$A,0)),"")</f>
        <v/>
      </c>
      <c r="K19" s="265" t="n">
        <v>0.35</v>
      </c>
      <c r="L19" s="265" t="n">
        <v>0.35</v>
      </c>
      <c r="M19" s="265" t="n">
        <v>0.3</v>
      </c>
      <c r="N19" s="266">
        <f>K19+L19+M19</f>
        <v/>
      </c>
      <c r="O19" s="265" t="n">
        <v>0.18</v>
      </c>
      <c r="P19" s="267">
        <f>IF($G19="No",0,ROUND(5*K19+3*L19+1*M19,0))</f>
        <v/>
      </c>
      <c r="Q19" s="267">
        <f>IF($G19="No",0,ROUND(1+4*(K19+L19),0))</f>
        <v/>
      </c>
      <c r="R19" s="267">
        <f>P19*Q19</f>
        <v/>
      </c>
      <c r="S19" s="268" t="inlineStr">
        <is>
          <t>Peso alto: desde el 30 de noviembre de 2026 desaparece la constancia declarativa en persona moral y fideicomiso, y hay que identificar al Beneficiario Controlador. La complejidad de la cadena es riesgo medible.</t>
        </is>
      </c>
    </row>
    <row r="20" ht="45.75" customHeight="1" s="225">
      <c r="B20" s="259" t="n">
        <v>3</v>
      </c>
      <c r="C20" s="260" t="n">
        <v>14</v>
      </c>
      <c r="D20" s="261" t="inlineStr">
        <is>
          <t>País donde se realiza la operación</t>
        </is>
      </c>
      <c r="E20" s="269" t="inlineStr">
        <is>
          <t>400 Bis</t>
        </is>
      </c>
      <c r="F20" s="262" t="inlineStr">
        <is>
          <t>C+D</t>
        </is>
      </c>
      <c r="G20" s="270" t="inlineStr">
        <is>
          <t>Sí</t>
        </is>
      </c>
      <c r="H20" s="264">
        <f>IFERROR(INDEX(BASE!$E:$E,MATCH(INICIO!$C$18&amp;"-"&amp;$C20,BASE!$A:$A,0)),"")</f>
        <v/>
      </c>
      <c r="I20" s="264">
        <f>IFERROR(INDEX(BASE!$F:$F,MATCH(INICIO!$C$18&amp;"-"&amp;$C20,BASE!$A:$A,0)),"")</f>
        <v/>
      </c>
      <c r="J20" s="264">
        <f>IFERROR(INDEX(BASE!$G:$G,MATCH(INICIO!$C$18&amp;"-"&amp;$C20,BASE!$A:$A,0)),"")</f>
        <v/>
      </c>
      <c r="K20" s="265" t="n">
        <v>0.15</v>
      </c>
      <c r="L20" s="265" t="n">
        <v>0.25</v>
      </c>
      <c r="M20" s="265" t="n">
        <v>0.6</v>
      </c>
      <c r="N20" s="266">
        <f>K20+L20+M20</f>
        <v/>
      </c>
      <c r="O20" s="265" t="n">
        <v>0.3</v>
      </c>
      <c r="P20" s="267">
        <f>IF($G20="No",0,ROUND(5*K20+3*L20+1*M20,0))</f>
        <v/>
      </c>
      <c r="Q20" s="267">
        <f>IF($G20="No",0,ROUND(1+4*(K20+L20),0))</f>
        <v/>
      </c>
      <c r="R20" s="267">
        <f>P20*Q20</f>
        <v/>
      </c>
      <c r="S20" s="268" t="inlineStr">
        <is>
          <t>Indicador de 400 Bis del elemento y el de mayor peso: la jurisdiccion donde se ubica el inmueble determina el marco registral y la trazabilidad real de la operacion.</t>
        </is>
      </c>
    </row>
    <row r="21" ht="45.75" customHeight="1" s="225">
      <c r="B21" s="259" t="n">
        <v>3</v>
      </c>
      <c r="C21" s="260" t="n">
        <v>15</v>
      </c>
      <c r="D21" s="261" t="inlineStr">
        <is>
          <t>Entidad o municipio de la operación</t>
        </is>
      </c>
      <c r="E21" s="260" t="n"/>
      <c r="F21" s="262" t="inlineStr">
        <is>
          <t>C+D</t>
        </is>
      </c>
      <c r="G21" s="263" t="inlineStr">
        <is>
          <t>Sí</t>
        </is>
      </c>
      <c r="H21" s="264">
        <f>IFERROR(INDEX(BASE!$E:$E,MATCH(INICIO!$C$18&amp;"-"&amp;$C21,BASE!$A:$A,0)),"")</f>
        <v/>
      </c>
      <c r="I21" s="264">
        <f>IFERROR(INDEX(BASE!$F:$F,MATCH(INICIO!$C$18&amp;"-"&amp;$C21,BASE!$A:$A,0)),"")</f>
        <v/>
      </c>
      <c r="J21" s="264">
        <f>IFERROR(INDEX(BASE!$G:$G,MATCH(INICIO!$C$18&amp;"-"&amp;$C21,BASE!$A:$A,0)),"")</f>
        <v/>
      </c>
      <c r="K21" s="265" t="n">
        <v>0.3</v>
      </c>
      <c r="L21" s="265" t="n">
        <v>0.35</v>
      </c>
      <c r="M21" s="265" t="n">
        <v>0.35</v>
      </c>
      <c r="N21" s="266">
        <f>K21+L21+M21</f>
        <v/>
      </c>
      <c r="O21" s="265" t="n">
        <v>0.3</v>
      </c>
      <c r="P21" s="267">
        <f>IF($G21="No",0,ROUND(5*K21+3*L21+1*M21,0))</f>
        <v/>
      </c>
      <c r="Q21" s="267">
        <f>IF($G21="No",0,ROUND(1+4*(K21+L21),0))</f>
        <v/>
      </c>
      <c r="R21" s="267">
        <f>P21*Q21</f>
        <v/>
      </c>
      <c r="S21" s="268" t="inlineStr">
        <is>
          <t>Peso equivalente al anterior: la plaza nacional concentra la exposicion. Dos de los desarrollos del periodo estan en municipios senalados en la ENR.</t>
        </is>
      </c>
    </row>
    <row r="22" ht="45.75" customHeight="1" s="225">
      <c r="B22" s="259" t="n">
        <v>3</v>
      </c>
      <c r="C22" s="260" t="n">
        <v>16</v>
      </c>
      <c r="D22" s="261" t="inlineStr">
        <is>
          <t>Vínculo con jurisdicción sancionada o de acción requerida</t>
        </is>
      </c>
      <c r="E22" s="271" t="inlineStr">
        <is>
          <t>139 Quáter</t>
        </is>
      </c>
      <c r="F22" s="262" t="inlineStr">
        <is>
          <t>C+D</t>
        </is>
      </c>
      <c r="G22" s="270" t="inlineStr">
        <is>
          <t>Sí</t>
        </is>
      </c>
      <c r="H22" s="264">
        <f>IFERROR(INDEX(BASE!$E:$E,MATCH(INICIO!$C$18&amp;"-"&amp;$C22,BASE!$A:$A,0)),"")</f>
        <v/>
      </c>
      <c r="I22" s="264">
        <f>IFERROR(INDEX(BASE!$F:$F,MATCH(INICIO!$C$18&amp;"-"&amp;$C22,BASE!$A:$A,0)),"")</f>
        <v/>
      </c>
      <c r="J22" s="264">
        <f>IFERROR(INDEX(BASE!$G:$G,MATCH(INICIO!$C$18&amp;"-"&amp;$C22,BASE!$A:$A,0)),"")</f>
        <v/>
      </c>
      <c r="K22" s="265" t="n">
        <v>0.05</v>
      </c>
      <c r="L22" s="265" t="n">
        <v>0.15</v>
      </c>
      <c r="M22" s="265" t="n">
        <v>0.8</v>
      </c>
      <c r="N22" s="266">
        <f>K22+L22+M22</f>
        <v/>
      </c>
      <c r="O22" s="265" t="n">
        <v>0.15</v>
      </c>
      <c r="P22" s="267">
        <f>IF($G22="No",0,ROUND(5*K22+3*L22+1*M22,0))</f>
        <v/>
      </c>
      <c r="Q22" s="267">
        <f>IF($G22="No",0,ROUND(1+4*(K22+L22),0))</f>
        <v/>
      </c>
      <c r="R22" s="267">
        <f>P22*Q22</f>
        <v/>
      </c>
      <c r="S22" s="268" t="inlineStr">
        <is>
          <t>Indicador de 139 Quater del elemento, con peso bajo: la operacion del periodo fue integramente nacional, sin contrapartes en jurisdicciones sancionadas.</t>
        </is>
      </c>
    </row>
    <row r="23" ht="45.75" customHeight="1" s="225">
      <c r="B23" s="259" t="n">
        <v>3</v>
      </c>
      <c r="C23" s="260" t="n">
        <v>17</v>
      </c>
      <c r="D23" s="261" t="inlineStr">
        <is>
          <t>Coincidencia entre domicilio y lugar de la operación</t>
        </is>
      </c>
      <c r="E23" s="269" t="inlineStr">
        <is>
          <t>400 Bis</t>
        </is>
      </c>
      <c r="F23" s="262" t="inlineStr">
        <is>
          <t>A+C</t>
        </is>
      </c>
      <c r="G23" s="270" t="inlineStr">
        <is>
          <t>Sí</t>
        </is>
      </c>
      <c r="H23" s="264">
        <f>IFERROR(INDEX(BASE!$E:$E,MATCH(INICIO!$C$18&amp;"-"&amp;$C23,BASE!$A:$A,0)),"")</f>
        <v/>
      </c>
      <c r="I23" s="264">
        <f>IFERROR(INDEX(BASE!$F:$F,MATCH(INICIO!$C$18&amp;"-"&amp;$C23,BASE!$A:$A,0)),"")</f>
        <v/>
      </c>
      <c r="J23" s="264">
        <f>IFERROR(INDEX(BASE!$G:$G,MATCH(INICIO!$C$18&amp;"-"&amp;$C23,BASE!$A:$A,0)),"")</f>
        <v/>
      </c>
      <c r="K23" s="265" t="n">
        <v>0.25</v>
      </c>
      <c r="L23" s="265" t="n">
        <v>0.3</v>
      </c>
      <c r="M23" s="265" t="n">
        <v>0.45</v>
      </c>
      <c r="N23" s="266">
        <f>K23+L23+M23</f>
        <v/>
      </c>
      <c r="O23" s="265" t="n">
        <v>0.25</v>
      </c>
      <c r="P23" s="267">
        <f>IF($G23="No",0,ROUND(5*K23+3*L23+1*M23,0))</f>
        <v/>
      </c>
      <c r="Q23" s="267">
        <f>IF($G23="No",0,ROUND(1+4*(K23+L23),0))</f>
        <v/>
      </c>
      <c r="R23" s="267">
        <f>P23*Q23</f>
        <v/>
      </c>
      <c r="S23" s="268" t="inlineStr">
        <is>
          <t>Peso alto: la incongruencia entre el domicilio del cliente y la ubicacion del inmueble es la alerta que mas veces se activo en el periodo evaluado.</t>
        </is>
      </c>
    </row>
    <row r="24" ht="45.75" customHeight="1" s="225">
      <c r="B24" s="259" t="n">
        <v>4</v>
      </c>
      <c r="C24" s="260" t="n">
        <v>18</v>
      </c>
      <c r="D24" s="261" t="inlineStr">
        <is>
          <t>Instrumento con que se paga</t>
        </is>
      </c>
      <c r="E24" s="260" t="n"/>
      <c r="F24" s="262" t="inlineStr">
        <is>
          <t>C</t>
        </is>
      </c>
      <c r="G24" s="263" t="inlineStr">
        <is>
          <t>Sí</t>
        </is>
      </c>
      <c r="H24" s="264">
        <f>IFERROR(INDEX(BASE!$E:$E,MATCH(INICIO!$C$18&amp;"-"&amp;$C24,BASE!$A:$A,0)),"")</f>
        <v/>
      </c>
      <c r="I24" s="264">
        <f>IFERROR(INDEX(BASE!$F:$F,MATCH(INICIO!$C$18&amp;"-"&amp;$C24,BASE!$A:$A,0)),"")</f>
        <v/>
      </c>
      <c r="J24" s="264">
        <f>IFERROR(INDEX(BASE!$G:$G,MATCH(INICIO!$C$18&amp;"-"&amp;$C24,BASE!$A:$A,0)),"")</f>
        <v/>
      </c>
      <c r="K24" s="265" t="n">
        <v>0.5</v>
      </c>
      <c r="L24" s="265" t="n">
        <v>0.25</v>
      </c>
      <c r="M24" s="265" t="n">
        <v>0.25</v>
      </c>
      <c r="N24" s="266">
        <f>K24+L24+M24</f>
        <v/>
      </c>
      <c r="O24" s="265" t="n">
        <v>0.22</v>
      </c>
      <c r="P24" s="267">
        <f>IF($G24="No",0,ROUND(5*K24+3*L24+1*M24,0))</f>
        <v/>
      </c>
      <c r="Q24" s="267">
        <f>IF($G24="No",0,ROUND(1+4*(K24+L24),0))</f>
        <v/>
      </c>
      <c r="R24" s="267">
        <f>P24*Q24</f>
        <v/>
      </c>
      <c r="S24" s="268" t="inlineStr">
        <is>
          <t>El peso mas alto del elemento: el efectivo es el mecanismo de colocacion por excelencia y la mitad de las operaciones del periodo tuvo algun componente en efectivo.</t>
        </is>
      </c>
    </row>
    <row r="25" ht="45.75" customHeight="1" s="225">
      <c r="B25" s="259" t="n">
        <v>4</v>
      </c>
      <c r="C25" s="260" t="n">
        <v>19</v>
      </c>
      <c r="D25" s="261" t="inlineStr">
        <is>
          <t>Moneda de la operación</t>
        </is>
      </c>
      <c r="E25" s="260" t="n"/>
      <c r="F25" s="262" t="inlineStr">
        <is>
          <t>C</t>
        </is>
      </c>
      <c r="G25" s="263" t="inlineStr">
        <is>
          <t>Sí</t>
        </is>
      </c>
      <c r="H25" s="264">
        <f>IFERROR(INDEX(BASE!$E:$E,MATCH(INICIO!$C$18&amp;"-"&amp;$C25,BASE!$A:$A,0)),"")</f>
        <v/>
      </c>
      <c r="I25" s="264">
        <f>IFERROR(INDEX(BASE!$F:$F,MATCH(INICIO!$C$18&amp;"-"&amp;$C25,BASE!$A:$A,0)),"")</f>
        <v/>
      </c>
      <c r="J25" s="264">
        <f>IFERROR(INDEX(BASE!$G:$G,MATCH(INICIO!$C$18&amp;"-"&amp;$C25,BASE!$A:$A,0)),"")</f>
        <v/>
      </c>
      <c r="K25" s="265" t="n">
        <v>0.1</v>
      </c>
      <c r="L25" s="265" t="n">
        <v>0.2</v>
      </c>
      <c r="M25" s="265" t="n">
        <v>0.7</v>
      </c>
      <c r="N25" s="266">
        <f>K25+L25+M25</f>
        <v/>
      </c>
      <c r="O25" s="265" t="n">
        <v>0.05</v>
      </c>
      <c r="P25" s="267">
        <f>IF($G25="No",0,ROUND(5*K25+3*L25+1*M25,0))</f>
        <v/>
      </c>
      <c r="Q25" s="267">
        <f>IF($G25="No",0,ROUND(1+4*(K25+L25),0))</f>
        <v/>
      </c>
      <c r="R25" s="267">
        <f>P25*Q25</f>
        <v/>
      </c>
      <c r="S25" s="268" t="inlineStr">
        <is>
          <t>Peso minimo: el 100% de las operaciones del periodo se pacto y liquido en pesos mexicanos.</t>
        </is>
      </c>
    </row>
    <row r="26" ht="45.75" customHeight="1" s="225">
      <c r="B26" s="259" t="n">
        <v>4</v>
      </c>
      <c r="C26" s="260" t="n">
        <v>20</v>
      </c>
      <c r="D26" s="261" t="inlineStr">
        <is>
          <t>Monto frente al umbral de tu fracción</t>
        </is>
      </c>
      <c r="E26" s="260" t="n"/>
      <c r="F26" s="262" t="inlineStr">
        <is>
          <t>C</t>
        </is>
      </c>
      <c r="G26" s="263" t="inlineStr">
        <is>
          <t>Sí</t>
        </is>
      </c>
      <c r="H26" s="264">
        <f>IFERROR(INDEX(BASE!$E:$E,MATCH(INICIO!$C$18&amp;"-"&amp;$C26,BASE!$A:$A,0)),"")</f>
        <v/>
      </c>
      <c r="I26" s="264">
        <f>IFERROR(INDEX(BASE!$F:$F,MATCH(INICIO!$C$18&amp;"-"&amp;$C26,BASE!$A:$A,0)),"")</f>
        <v/>
      </c>
      <c r="J26" s="264">
        <f>IFERROR(INDEX(BASE!$G:$G,MATCH(INICIO!$C$18&amp;"-"&amp;$C26,BASE!$A:$A,0)),"")</f>
        <v/>
      </c>
      <c r="K26" s="265" t="n">
        <v>0.35</v>
      </c>
      <c r="L26" s="265" t="n">
        <v>0.3</v>
      </c>
      <c r="M26" s="265" t="n">
        <v>0.35</v>
      </c>
      <c r="N26" s="266">
        <f>K26+L26+M26</f>
        <v/>
      </c>
      <c r="O26" s="265" t="n">
        <v>0.13</v>
      </c>
      <c r="P26" s="267">
        <f>IF($G26="No",0,ROUND(5*K26+3*L26+1*M26,0))</f>
        <v/>
      </c>
      <c r="Q26" s="267">
        <f>IF($G26="No",0,ROUND(1+4*(K26+L26),0))</f>
        <v/>
      </c>
      <c r="R26" s="267">
        <f>P26*Q26</f>
        <v/>
      </c>
      <c r="S26" s="268" t="inlineStr">
        <is>
          <t>Peso medio: el monto frente al umbral define si la operacion entra al regimen, pero en este giro practicamente todas lo superan, de modo que discrimina poco entre clientes.</t>
        </is>
      </c>
    </row>
    <row r="27" ht="45.75" customHeight="1" s="225">
      <c r="B27" s="259" t="n">
        <v>4</v>
      </c>
      <c r="C27" s="260" t="n">
        <v>21</v>
      </c>
      <c r="D27" s="261" t="inlineStr">
        <is>
          <t>Número y ritmo de operaciones en el periodo</t>
        </is>
      </c>
      <c r="E27" s="260" t="n"/>
      <c r="F27" s="262" t="inlineStr">
        <is>
          <t>C</t>
        </is>
      </c>
      <c r="G27" s="263" t="inlineStr">
        <is>
          <t>Sí</t>
        </is>
      </c>
      <c r="H27" s="264">
        <f>IFERROR(INDEX(BASE!$E:$E,MATCH(INICIO!$C$18&amp;"-"&amp;$C27,BASE!$A:$A,0)),"")</f>
        <v/>
      </c>
      <c r="I27" s="264">
        <f>IFERROR(INDEX(BASE!$F:$F,MATCH(INICIO!$C$18&amp;"-"&amp;$C27,BASE!$A:$A,0)),"")</f>
        <v/>
      </c>
      <c r="J27" s="264">
        <f>IFERROR(INDEX(BASE!$G:$G,MATCH(INICIO!$C$18&amp;"-"&amp;$C27,BASE!$A:$A,0)),"")</f>
        <v/>
      </c>
      <c r="K27" s="265" t="n">
        <v>0.3</v>
      </c>
      <c r="L27" s="265" t="n">
        <v>0.35</v>
      </c>
      <c r="M27" s="265" t="n">
        <v>0.35</v>
      </c>
      <c r="N27" s="266">
        <f>K27+L27+M27</f>
        <v/>
      </c>
      <c r="O27" s="265" t="n">
        <v>0.15</v>
      </c>
      <c r="P27" s="267">
        <f>IF($G27="No",0,ROUND(5*K27+3*L27+1*M27,0))</f>
        <v/>
      </c>
      <c r="Q27" s="267">
        <f>IF($G27="No",0,ROUND(1+4*(K27+L27),0))</f>
        <v/>
      </c>
      <c r="R27" s="267">
        <f>P27*Q27</f>
        <v/>
      </c>
      <c r="S27" s="268" t="inlineStr">
        <is>
          <t>Peso relevante: el pago en parcialidades es la practica normal del giro, lo que hace dificil distinguir la amortizacion legitima del fraccionamiento deliberado.</t>
        </is>
      </c>
    </row>
    <row r="28" ht="45.75" customHeight="1" s="225">
      <c r="B28" s="259" t="n">
        <v>4</v>
      </c>
      <c r="C28" s="260" t="n">
        <v>22</v>
      </c>
      <c r="D28" s="261" t="inlineStr">
        <is>
          <t>Canal: certeza de identificación del Cliente</t>
        </is>
      </c>
      <c r="E28" s="269" t="inlineStr">
        <is>
          <t>400 Bis</t>
        </is>
      </c>
      <c r="F28" s="262" t="inlineStr">
        <is>
          <t>B+C</t>
        </is>
      </c>
      <c r="G28" s="270" t="inlineStr">
        <is>
          <t>Sí</t>
        </is>
      </c>
      <c r="H28" s="264">
        <f>IFERROR(INDEX(BASE!$E:$E,MATCH(INICIO!$C$18&amp;"-"&amp;$C28,BASE!$A:$A,0)),"")</f>
        <v/>
      </c>
      <c r="I28" s="264">
        <f>IFERROR(INDEX(BASE!$F:$F,MATCH(INICIO!$C$18&amp;"-"&amp;$C28,BASE!$A:$A,0)),"")</f>
        <v/>
      </c>
      <c r="J28" s="264">
        <f>IFERROR(INDEX(BASE!$G:$G,MATCH(INICIO!$C$18&amp;"-"&amp;$C28,BASE!$A:$A,0)),"")</f>
        <v/>
      </c>
      <c r="K28" s="265" t="n">
        <v>0.25</v>
      </c>
      <c r="L28" s="265" t="n">
        <v>0.35</v>
      </c>
      <c r="M28" s="265" t="n">
        <v>0.4</v>
      </c>
      <c r="N28" s="266">
        <f>K28+L28+M28</f>
        <v/>
      </c>
      <c r="O28" s="265" t="n">
        <v>0.1</v>
      </c>
      <c r="P28" s="267">
        <f>IF($G28="No",0,ROUND(5*K28+3*L28+1*M28,0))</f>
        <v/>
      </c>
      <c r="Q28" s="267">
        <f>IF($G28="No",0,ROUND(1+4*(K28+L28),0))</f>
        <v/>
      </c>
      <c r="R28" s="267">
        <f>P28*Q28</f>
        <v/>
      </c>
      <c r="S28" s="268" t="inlineStr">
        <is>
          <t>Indicador de 400 Bis del elemento. Peso contenido: la operacion es presencial y ante fedatario, lo que limita el riesgo de canal.</t>
        </is>
      </c>
    </row>
    <row r="29" ht="45.75" customHeight="1" s="225">
      <c r="B29" s="259" t="n">
        <v>4</v>
      </c>
      <c r="C29" s="260" t="n">
        <v>23</v>
      </c>
      <c r="D29" s="261" t="inlineStr">
        <is>
          <t>Acreditación del origen de los recursos</t>
        </is>
      </c>
      <c r="E29" s="260" t="n"/>
      <c r="F29" s="262" t="inlineStr">
        <is>
          <t>C+D</t>
        </is>
      </c>
      <c r="G29" s="263" t="inlineStr">
        <is>
          <t>Sí</t>
        </is>
      </c>
      <c r="H29" s="264">
        <f>IFERROR(INDEX(BASE!$E:$E,MATCH(INICIO!$C$18&amp;"-"&amp;$C29,BASE!$A:$A,0)),"")</f>
        <v/>
      </c>
      <c r="I29" s="264">
        <f>IFERROR(INDEX(BASE!$F:$F,MATCH(INICIO!$C$18&amp;"-"&amp;$C29,BASE!$A:$A,0)),"")</f>
        <v/>
      </c>
      <c r="J29" s="264">
        <f>IFERROR(INDEX(BASE!$G:$G,MATCH(INICIO!$C$18&amp;"-"&amp;$C29,BASE!$A:$A,0)),"")</f>
        <v/>
      </c>
      <c r="K29" s="265" t="n">
        <v>0.45</v>
      </c>
      <c r="L29" s="265" t="n">
        <v>0.3</v>
      </c>
      <c r="M29" s="265" t="n">
        <v>0.25</v>
      </c>
      <c r="N29" s="266">
        <f>K29+L29+M29</f>
        <v/>
      </c>
      <c r="O29" s="265" t="n">
        <v>0.18</v>
      </c>
      <c r="P29" s="267">
        <f>IF($G29="No",0,ROUND(5*K29+3*L29+1*M29,0))</f>
        <v/>
      </c>
      <c r="Q29" s="267">
        <f>IF($G29="No",0,ROUND(1+4*(K29+L29),0))</f>
        <v/>
      </c>
      <c r="R29" s="267">
        <f>P29*Q29</f>
        <v/>
      </c>
      <c r="S29" s="268" t="inlineStr">
        <is>
          <t>Peso alto: el origen de los recursos es el dato que sostiene o derrumba toda la operacion, y es la primera pregunta de cualquier requerimiento.</t>
        </is>
      </c>
    </row>
    <row r="30" ht="45.75" customHeight="1" s="225">
      <c r="B30" s="259" t="n">
        <v>4</v>
      </c>
      <c r="C30" s="260" t="n">
        <v>24</v>
      </c>
      <c r="D30" s="261" t="inlineStr">
        <is>
          <t>Acreditación del destino de los recursos o del bien</t>
        </is>
      </c>
      <c r="E30" s="260" t="n"/>
      <c r="F30" s="262" t="inlineStr">
        <is>
          <t>C+D</t>
        </is>
      </c>
      <c r="G30" s="263" t="inlineStr">
        <is>
          <t>Sí</t>
        </is>
      </c>
      <c r="H30" s="264">
        <f>IFERROR(INDEX(BASE!$E:$E,MATCH(INICIO!$C$18&amp;"-"&amp;$C30,BASE!$A:$A,0)),"")</f>
        <v/>
      </c>
      <c r="I30" s="264">
        <f>IFERROR(INDEX(BASE!$F:$F,MATCH(INICIO!$C$18&amp;"-"&amp;$C30,BASE!$A:$A,0)),"")</f>
        <v/>
      </c>
      <c r="J30" s="264">
        <f>IFERROR(INDEX(BASE!$G:$G,MATCH(INICIO!$C$18&amp;"-"&amp;$C30,BASE!$A:$A,0)),"")</f>
        <v/>
      </c>
      <c r="K30" s="265" t="n">
        <v>0.3</v>
      </c>
      <c r="L30" s="265" t="n">
        <v>0.3</v>
      </c>
      <c r="M30" s="265" t="n">
        <v>0.4</v>
      </c>
      <c r="N30" s="266">
        <f>K30+L30+M30</f>
        <v/>
      </c>
      <c r="O30" s="265" t="n">
        <v>0.09</v>
      </c>
      <c r="P30" s="267">
        <f>IF($G30="No",0,ROUND(5*K30+3*L30+1*M30,0))</f>
        <v/>
      </c>
      <c r="Q30" s="267">
        <f>IF($G30="No",0,ROUND(1+4*(K30+L30),0))</f>
        <v/>
      </c>
      <c r="R30" s="267">
        <f>P30*Q30</f>
        <v/>
      </c>
      <c r="S30" s="268" t="inlineStr">
        <is>
          <t>Peso menor que el origen: en compraventa de inmueble el destino es el propio bien, que queda registrado; el riesgo se concentra en la entrada de los recursos.</t>
        </is>
      </c>
    </row>
    <row r="31" ht="45.75" customHeight="1" s="225">
      <c r="B31" s="259" t="n">
        <v>4</v>
      </c>
      <c r="C31" s="260" t="n">
        <v>25</v>
      </c>
      <c r="D31" s="261" t="inlineStr">
        <is>
          <t>Combinación de canal e instrumento idónea para el financiamiento al terrorismo</t>
        </is>
      </c>
      <c r="E31" s="271" t="inlineStr">
        <is>
          <t>139 Quáter</t>
        </is>
      </c>
      <c r="F31" s="262" t="inlineStr">
        <is>
          <t>B+C</t>
        </is>
      </c>
      <c r="G31" s="270" t="inlineStr">
        <is>
          <t>Sí</t>
        </is>
      </c>
      <c r="H31" s="264">
        <f>IFERROR(INDEX(BASE!$E:$E,MATCH(INICIO!$C$18&amp;"-"&amp;$C31,BASE!$A:$A,0)),"")</f>
        <v/>
      </c>
      <c r="I31" s="264">
        <f>IFERROR(INDEX(BASE!$F:$F,MATCH(INICIO!$C$18&amp;"-"&amp;$C31,BASE!$A:$A,0)),"")</f>
        <v/>
      </c>
      <c r="J31" s="264">
        <f>IFERROR(INDEX(BASE!$G:$G,MATCH(INICIO!$C$18&amp;"-"&amp;$C31,BASE!$A:$A,0)),"")</f>
        <v/>
      </c>
      <c r="K31" s="265" t="n">
        <v>0.2</v>
      </c>
      <c r="L31" s="265" t="n">
        <v>0.3</v>
      </c>
      <c r="M31" s="265" t="n">
        <v>0.5</v>
      </c>
      <c r="N31" s="266">
        <f>K31+L31+M31</f>
        <v/>
      </c>
      <c r="O31" s="265" t="n">
        <v>0.08</v>
      </c>
      <c r="P31" s="267">
        <f>IF($G31="No",0,ROUND(5*K31+3*L31+1*M31,0))</f>
        <v/>
      </c>
      <c r="Q31" s="267">
        <f>IF($G31="No",0,ROUND(1+4*(K31+L31),0))</f>
        <v/>
      </c>
      <c r="R31" s="267">
        <f>P31*Q31</f>
        <v/>
      </c>
      <c r="S31" s="268" t="inlineStr">
        <is>
          <t>Indicador de 139 Quater del elemento. Peso bajo: no se identificaron canales ni instrumentos de los descritos en la ENR para financiamiento al terrorismo.</t>
        </is>
      </c>
    </row>
    <row r="33" ht="21" customHeight="1" s="225">
      <c r="B33" s="272" t="inlineStr">
        <is>
          <t>RESUMEN POR ELEMENTO</t>
        </is>
      </c>
    </row>
    <row r="34" ht="15" customHeight="1" s="225">
      <c r="B34" s="231" t="inlineStr">
        <is>
          <t>Elemento</t>
        </is>
      </c>
      <c r="C34" s="233" t="n"/>
      <c r="D34" s="231" t="inlineStr">
        <is>
          <t>Peso</t>
        </is>
      </c>
      <c r="E34" s="231" t="inlineStr">
        <is>
          <t>Calif.</t>
        </is>
      </c>
      <c r="F34" s="231" t="inlineStr">
        <is>
          <t>Conc.</t>
        </is>
      </c>
      <c r="G34" s="231" t="inlineStr">
        <is>
          <t>Riesgo</t>
        </is>
      </c>
      <c r="H34" s="231" t="inlineStr">
        <is>
          <t>Nivel</t>
        </is>
      </c>
      <c r="I34" s="231" t="inlineStr">
        <is>
          <t>N/A</t>
        </is>
      </c>
      <c r="J34" s="231" t="inlineStr">
        <is>
          <t>Aviso</t>
        </is>
      </c>
      <c r="K34" s="231" t="inlineStr">
        <is>
          <t>Justificación del peso asignado (Art. 10 Septies 1, fr. II)</t>
        </is>
      </c>
      <c r="L34" s="232" t="n"/>
      <c r="M34" s="232" t="n"/>
      <c r="N34" s="232" t="n"/>
      <c r="O34" s="232" t="n"/>
      <c r="P34" s="232" t="n"/>
      <c r="Q34" s="232" t="n"/>
      <c r="R34" s="232" t="n"/>
      <c r="S34" s="233" t="n"/>
    </row>
    <row r="35" ht="30" customHeight="1" s="225">
      <c r="B35" s="273" t="inlineStr">
        <is>
          <t>1. Actos u operaciones</t>
        </is>
      </c>
      <c r="C35" s="233" t="n"/>
      <c r="D35" s="274" t="n">
        <v>0.2</v>
      </c>
      <c r="E35" s="275">
        <f>IFERROR(SUMPRODUCT($P$7:$P$11,$O$7:$O$11,--($G$7:$G$11="Sí"))/SUMPRODUCT($O$7:$O$11,--($G$7:$G$11="Sí")),0)</f>
        <v/>
      </c>
      <c r="F35" s="275">
        <f>IFERROR(SUMPRODUCT($Q$7:$Q$11,$O$7:$O$11,--($G$7:$G$11="Sí"))/SUMPRODUCT($O$7:$O$11,--($G$7:$G$11="Sí")),0)</f>
        <v/>
      </c>
      <c r="G35" s="275">
        <f>E35*F35</f>
        <v/>
      </c>
      <c r="H35" s="276">
        <f>IFERROR(INDEX(PARAMETROS!$E$15:$E$19,MATCH(G35,PARAMETROS!$B$15:$B$19,1)),"")</f>
        <v/>
      </c>
      <c r="I35" s="276">
        <f>COUNTIF($G$7:$G$11,"No")</f>
        <v/>
      </c>
      <c r="J35" s="277">
        <f>IF(I35&gt;5/3,"Revisar: más de un tercio del elemento está en No aplica","")</f>
        <v/>
      </c>
      <c r="K35" s="278" t="inlineStr">
        <is>
          <t>La entidad realiza un solo tipo de acto —compraventa de inmueble destinado a casa habitación y local comercial— de alto valor unitario y baja liquidez. Se le asigna 20% porque el acto en sí está bien acotado y registrado ante fedatario: la exposición no está en qué se vende, sino en con quién y cómo se paga.</t>
        </is>
      </c>
      <c r="L35" s="232" t="n"/>
      <c r="M35" s="232" t="n"/>
      <c r="N35" s="232" t="n"/>
      <c r="O35" s="232" t="n"/>
      <c r="P35" s="232" t="n"/>
      <c r="Q35" s="232" t="n"/>
      <c r="R35" s="232" t="n"/>
      <c r="S35" s="233" t="n"/>
    </row>
    <row r="36" ht="30" customHeight="1" s="225">
      <c r="B36" s="273" t="inlineStr">
        <is>
          <t>2. Clientes / Usuarios</t>
        </is>
      </c>
      <c r="C36" s="233" t="n"/>
      <c r="D36" s="274" t="n">
        <v>0.3</v>
      </c>
      <c r="E36" s="275">
        <f>IFERROR(SUMPRODUCT($P$12:$P$19,$O$12:$O$19,--($G$12:$G$19="Sí"))/SUMPRODUCT($O$12:$O$19,--($G$12:$G$19="Sí")),0)</f>
        <v/>
      </c>
      <c r="F36" s="275">
        <f>IFERROR(SUMPRODUCT($Q$12:$Q$19,$O$12:$O$19,--($G$12:$G$19="Sí"))/SUMPRODUCT($O$12:$O$19,--($G$12:$G$19="Sí")),0)</f>
        <v/>
      </c>
      <c r="G36" s="275">
        <f>E36*F36</f>
        <v/>
      </c>
      <c r="H36" s="276">
        <f>IFERROR(INDEX(PARAMETROS!$E$15:$E$19,MATCH(G36,PARAMETROS!$B$15:$B$19,1)),"")</f>
        <v/>
      </c>
      <c r="I36" s="276">
        <f>COUNTIF($G$12:$G$19,"No")</f>
        <v/>
      </c>
      <c r="J36" s="277">
        <f>IF(I36&gt;8/3,"Revisar: más de un tercio del elemento está en No aplica","")</f>
        <v/>
      </c>
      <c r="K36" s="278" t="inlineStr">
        <is>
          <t>Es donde se concentra la exposición real. De los 86 Clientes del periodo, 31 son personas morales y 9 de ellas se constituyeron en los doce meses previos a la operación. La interposición de terceros y la opacidad de la cadena de propiedad son la tipología inmobiliaria dominante en la Evaluación Nacional de Riesgos. Se le asigna 30%.</t>
        </is>
      </c>
      <c r="L36" s="232" t="n"/>
      <c r="M36" s="232" t="n"/>
      <c r="N36" s="232" t="n"/>
      <c r="O36" s="232" t="n"/>
      <c r="P36" s="232" t="n"/>
      <c r="Q36" s="232" t="n"/>
      <c r="R36" s="232" t="n"/>
      <c r="S36" s="233" t="n"/>
    </row>
    <row r="37" ht="30" customHeight="1" s="225">
      <c r="B37" s="273" t="inlineStr">
        <is>
          <t>3. Países y áreas geográficas</t>
        </is>
      </c>
      <c r="C37" s="233" t="n"/>
      <c r="D37" s="274" t="n">
        <v>0.15</v>
      </c>
      <c r="E37" s="275">
        <f>IFERROR(SUMPRODUCT($P$20:$P$23,$O$20:$O$23,--($G$20:$G$23="Sí"))/SUMPRODUCT($O$20:$O$23,--($G$20:$G$23="Sí")),0)</f>
        <v/>
      </c>
      <c r="F37" s="275">
        <f>IFERROR(SUMPRODUCT($Q$20:$Q$23,$O$20:$O$23,--($G$20:$G$23="Sí"))/SUMPRODUCT($O$20:$O$23,--($G$20:$G$23="Sí")),0)</f>
        <v/>
      </c>
      <c r="G37" s="275">
        <f>E37*F37</f>
        <v/>
      </c>
      <c r="H37" s="276">
        <f>IFERROR(INDEX(PARAMETROS!$E$15:$E$19,MATCH(G37,PARAMETROS!$B$15:$B$19,1)),"")</f>
        <v/>
      </c>
      <c r="I37" s="276">
        <f>COUNTIF($G$20:$G$23,"No")</f>
        <v/>
      </c>
      <c r="J37" s="277">
        <f>IF(I37&gt;4/3,"Revisar: más de un tercio del elemento está en No aplica","")</f>
        <v/>
      </c>
      <c r="K37" s="278" t="inlineStr">
        <is>
          <t>La operación es local: los cuatro desarrollos están en el área metropolitana y no hubo contrapartes ni recursos de jurisdicciones extranjeras en el periodo. Se le asigna 15%, el peso más bajo, y no cero: dos de los desarrollos están en municipios señalados en la ENR, y eso se mide en el indicador 15.</t>
        </is>
      </c>
      <c r="L37" s="232" t="n"/>
      <c r="M37" s="232" t="n"/>
      <c r="N37" s="232" t="n"/>
      <c r="O37" s="232" t="n"/>
      <c r="P37" s="232" t="n"/>
      <c r="Q37" s="232" t="n"/>
      <c r="R37" s="232" t="n"/>
      <c r="S37" s="233" t="n"/>
    </row>
    <row r="38" ht="30" customHeight="1" s="225">
      <c r="B38" s="273" t="inlineStr">
        <is>
          <t>4. Transacciones y canales</t>
        </is>
      </c>
      <c r="C38" s="233" t="n"/>
      <c r="D38" s="274" t="n">
        <v>0.35</v>
      </c>
      <c r="E38" s="275">
        <f>IFERROR(SUMPRODUCT($P$24:$P$31,$O$24:$O$31,--($G$24:$G$31="Sí"))/SUMPRODUCT($O$24:$O$31,--($G$24:$G$31="Sí")),0)</f>
        <v/>
      </c>
      <c r="F38" s="275">
        <f>IFERROR(SUMPRODUCT($Q$24:$Q$31,$O$24:$O$31,--($G$24:$G$31="Sí"))/SUMPRODUCT($O$24:$O$31,--($G$24:$G$31="Sí")),0)</f>
        <v/>
      </c>
      <c r="G38" s="275">
        <f>E38*F38</f>
        <v/>
      </c>
      <c r="H38" s="276">
        <f>IFERROR(INDEX(PARAMETROS!$E$15:$E$19,MATCH(G38,PARAMETROS!$B$15:$B$19,1)),"")</f>
        <v/>
      </c>
      <c r="I38" s="276">
        <f>COUNTIF($G$24:$G$31,"No")</f>
        <v/>
      </c>
      <c r="J38" s="277">
        <f>IF(I38&gt;8/3,"Revisar: más de un tercio del elemento está en No aplica","")</f>
        <v/>
      </c>
      <c r="K38" s="278" t="inlineStr">
        <is>
          <t>El mayor peso, 35%. Es donde se materializa el riesgo: 56 de las 112 operaciones tuvieron algún componente en efectivo, 41 se liquidaron en parcialidades y en 7 casos el pago provino de un tercero distinto del comprador. Los tres hechos están documentados en el reporte de acumulación del sistema.</t>
        </is>
      </c>
      <c r="L38" s="232" t="n"/>
      <c r="M38" s="232" t="n"/>
      <c r="N38" s="232" t="n"/>
      <c r="O38" s="232" t="n"/>
      <c r="P38" s="232" t="n"/>
      <c r="Q38" s="232" t="n"/>
      <c r="R38" s="232" t="n"/>
      <c r="S38" s="233" t="n"/>
    </row>
    <row r="40" ht="34.5" customHeight="1" s="225">
      <c r="B40" s="279" t="inlineStr">
        <is>
          <t>RIESGO DE LA ENTIDAD</t>
        </is>
      </c>
      <c r="C40" s="233" t="n"/>
      <c r="D40" s="280">
        <f>SUM(D35:D38)</f>
        <v/>
      </c>
      <c r="E40" s="281">
        <f>IFERROR(SUMPRODUCT(E35:E38,D35:D38)/SUM(D35:D38),0)</f>
        <v/>
      </c>
      <c r="F40" s="281">
        <f>IFERROR(SUMPRODUCT(F35:F38,D35:D38)/SUM(D35:D38),0)</f>
        <v/>
      </c>
      <c r="G40" s="281">
        <f>E40*F40</f>
        <v/>
      </c>
      <c r="H40" s="282">
        <f>IFERROR(INDEX(PARAMETROS!$E$15:$E$19,MATCH(G40,PARAMETROS!$B$15:$B$19,1)),"")</f>
        <v/>
      </c>
      <c r="I40" s="282">
        <f>COUNTIF($G$7:$G$31,"No")</f>
        <v/>
      </c>
      <c r="J40" s="283">
        <f>IF(SUMPRODUCT(--($G$7:$G$31="No"),--($S$7:$S$31=""))&gt;0,"Hay exclusiones sin justificación escrita: no son defendibles ante un requerimiento","")</f>
        <v/>
      </c>
      <c r="K40" s="284">
        <f>IF(ABS(SUM($D$35:$D$38)-1)&gt;0.001,"Los pesos de los cuatro elementos suman "&amp;TEXT(SUM($D$35:$D$38),"0%")&amp;" y deben sumar 100%. Corrige la columna Peso.","Los pesos de los elementos suman 100%.")</f>
        <v/>
      </c>
      <c r="L40" s="232" t="n"/>
      <c r="M40" s="232" t="n"/>
      <c r="N40" s="232" t="n"/>
      <c r="O40" s="232" t="n"/>
      <c r="P40" s="232" t="n"/>
      <c r="Q40" s="232" t="n"/>
      <c r="R40" s="232" t="n"/>
      <c r="S40" s="233" t="n"/>
    </row>
    <row r="41" ht="15" customHeight="1" s="225">
      <c r="K41" s="285" t="inlineStr">
        <is>
          <t>El peso de cada indicador (columna Peso) es relativo dentro de su elemento: el promedio se normaliza solo. El peso de los cuatro elementos sí debe sumar 100%.</t>
        </is>
      </c>
    </row>
    <row r="42" ht="15" customHeight="1" s="225">
      <c r="B42" s="286" t="inlineStr">
        <is>
          <t>Trazabilidad (Art. 10 Septies 1, fr. I y último párrafo): indicadores evaluados y excluidos</t>
        </is>
      </c>
    </row>
    <row r="43" ht="15" customHeight="1" s="225">
      <c r="B43" s="287" t="inlineStr">
        <is>
          <t>Indicadores evaluados:</t>
        </is>
      </c>
      <c r="E43" s="286">
        <f>COUNTIF($G$7:$G$31,"Sí")</f>
        <v/>
      </c>
    </row>
    <row r="44" ht="15" customHeight="1" s="225">
      <c r="B44" s="287" t="inlineStr">
        <is>
          <t>Indicadores excluidos (No aplica):</t>
        </is>
      </c>
      <c r="E44" s="286">
        <f>COUNTIF($G$7:$G$31,"No")</f>
        <v/>
      </c>
    </row>
    <row r="45" ht="15" customHeight="1" s="225">
      <c r="B45" s="287" t="inlineStr">
        <is>
          <t>Exclusiones sin justificación escrita:</t>
        </is>
      </c>
      <c r="E45" s="286">
        <f>SUMPRODUCT(--($G$7:$G$31="No"),--($S$7:$S$31=""))</f>
        <v/>
      </c>
    </row>
    <row r="46" ht="15" customHeight="1" s="225">
      <c r="B46" s="285" t="inlineStr">
        <is>
          <t>Los indicadores de 139 Quáter y de 400 Bis con celda gris no admiten «No aplica»: excluirlos incumpliría el último párrafo del Art. 10 Septies 1.</t>
        </is>
      </c>
    </row>
  </sheetData>
  <mergeCells count="13">
    <mergeCell ref="B38:C38"/>
    <mergeCell ref="K38:S38"/>
    <mergeCell ref="B37:C37"/>
    <mergeCell ref="K37:S37"/>
    <mergeCell ref="B34:C34"/>
    <mergeCell ref="B36:C36"/>
    <mergeCell ref="K36:S36"/>
    <mergeCell ref="K40:S40"/>
    <mergeCell ref="B40:C40"/>
    <mergeCell ref="B33:K33"/>
    <mergeCell ref="B35:C35"/>
    <mergeCell ref="K35:S35"/>
    <mergeCell ref="K34:S34"/>
  </mergeCells>
  <conditionalFormatting sqref="K40:S40">
    <cfRule type="expression" rank="0" priority="2" equalAverage="0" aboveAverage="0" dxfId="0" text="" percent="0" bottom="0">
      <formula>ABS(SUM($D$35:$D$38)-1)&gt;0.001</formula>
    </cfRule>
    <cfRule type="expression" rank="0" priority="3" equalAverage="0" aboveAverage="0" dxfId="1" text="" percent="0" bottom="0">
      <formula>ABS(SUM($D$35:$D$38)-1)&lt;=0.001</formula>
    </cfRule>
  </conditionalFormatting>
  <conditionalFormatting sqref="N7:N31">
    <cfRule type="expression" rank="0" priority="4" equalAverage="0" aboveAverage="0" dxfId="0" text="" percent="0" bottom="0">
      <formula>AND($G7="Sí",ABS(N7-1)&gt;0.001)</formula>
    </cfRule>
    <cfRule type="expression" rank="0" priority="5" equalAverage="0" aboveAverage="0" dxfId="1" text="" percent="0" bottom="0">
      <formula>AND($G7="Sí",ABS(N7-1)&lt;=0.001)</formula>
    </cfRule>
  </conditionalFormatting>
  <conditionalFormatting sqref="S7:S31">
    <cfRule type="expression" rank="0" priority="6" equalAverage="0" aboveAverage="0" dxfId="0" text="" percent="0" bottom="0">
      <formula>AND($G7="No",$S7="")</formula>
    </cfRule>
  </conditionalFormatting>
  <conditionalFormatting sqref="H35:H38">
    <cfRule type="expression" rank="0" priority="7" equalAverage="0" aboveAverage="0" dxfId="2" text="" percent="0" bottom="0">
      <formula>EXACT(H35,"BAJO")</formula>
    </cfRule>
    <cfRule type="expression" rank="0" priority="8" equalAverage="0" aboveAverage="0" dxfId="3" text="" percent="0" bottom="0">
      <formula>EXACT(H35,"MEDIO BAJO")</formula>
    </cfRule>
    <cfRule type="expression" rank="0" priority="9" equalAverage="0" aboveAverage="0" dxfId="4" text="" percent="0" bottom="0">
      <formula>EXACT(H35,"MEDIO")</formula>
    </cfRule>
    <cfRule type="expression" rank="0" priority="10" equalAverage="0" aboveAverage="0" dxfId="5" text="" percent="0" bottom="0">
      <formula>EXACT(H35,"MEDIO ALTO")</formula>
    </cfRule>
    <cfRule type="expression" rank="0" priority="11" equalAverage="0" aboveAverage="0" dxfId="6" text="" percent="0" bottom="0">
      <formula>EXACT(H35,"ALTO")</formula>
    </cfRule>
  </conditionalFormatting>
  <conditionalFormatting sqref="H40">
    <cfRule type="expression" rank="0" priority="12" equalAverage="0" aboveAverage="0" dxfId="2" text="" percent="0" bottom="0">
      <formula>EXACT(H40,"BAJO")</formula>
    </cfRule>
    <cfRule type="expression" rank="0" priority="13" equalAverage="0" aboveAverage="0" dxfId="3" text="" percent="0" bottom="0">
      <formula>EXACT(H40,"MEDIO BAJO")</formula>
    </cfRule>
    <cfRule type="expression" rank="0" priority="14" equalAverage="0" aboveAverage="0" dxfId="4" text="" percent="0" bottom="0">
      <formula>EXACT(H40,"MEDIO")</formula>
    </cfRule>
    <cfRule type="expression" rank="0" priority="15" equalAverage="0" aboveAverage="0" dxfId="5" text="" percent="0" bottom="0">
      <formula>EXACT(H40,"MEDIO ALTO")</formula>
    </cfRule>
    <cfRule type="expression" rank="0" priority="16" equalAverage="0" aboveAverage="0" dxfId="6" text="" percent="0" bottom="0">
      <formula>EXACT(H40,"ALTO")</formula>
    </cfRule>
  </conditionalFormatting>
  <dataValidations count="2">
    <dataValidation sqref="G10:G11 G17:G20 G22:G23 G28 G31" showDropDown="0" showInputMessage="0" showErrorMessage="0" allowBlank="0" type="list" errorStyle="stop" operator="between">
      <formula1>"Sí"</formula1>
      <formula2>0</formula2>
    </dataValidation>
    <dataValidation sqref="G7:G9 G12:G16 G21 G24:G27 G29:G30" showDropDown="0" showInputMessage="0" showErrorMessage="0" allowBlank="0" type="list" errorStyle="stop" operator="between">
      <formula1>"Sí,No"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FFC000"/>
    <outlinePr summaryBelow="1" summaryRight="1"/>
    <pageSetUpPr fitToPage="0"/>
  </sheetPr>
  <dimension ref="B2:G12"/>
  <sheetViews>
    <sheetView showFormulas="0" showGridLines="0" showRowColHeaders="1" showZeros="1" rightToLeft="0" tabSelected="0" showOutlineSymbols="1" defaultGridColor="1"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baseColWidth="8" defaultColWidth="8.6796875" defaultRowHeight="15" zeroHeight="0" outlineLevelRow="0"/>
  <cols>
    <col width="2" customWidth="1" style="224" min="1" max="1"/>
    <col width="26" customWidth="1" style="224" min="2" max="2"/>
    <col width="30" customWidth="1" style="224" min="3" max="6"/>
    <col width="16" customWidth="1" style="224" min="7" max="7"/>
  </cols>
  <sheetData>
    <row r="2" ht="21.75" customHeight="1" s="225">
      <c r="B2" s="227" t="inlineStr">
        <is>
          <t>A2 · CONSECUENCIAS SI EL RIESGO SE MATERIALIZA (análisis cualitativo)</t>
        </is>
      </c>
    </row>
    <row r="3" ht="15" customHeight="1" s="225">
      <c r="B3" s="256" t="inlineStr">
        <is>
          <t>Esta hoja NO alimenta el cálculo y no cambia ningún número. En una sola descripción, explica qué pasaría si el riesgo LD/FT se materializa en tu entidad. Sirve para justificar el nivel de tolerancia declarado y para sustentar la evaluación ante un requerimiento.</t>
        </is>
      </c>
    </row>
    <row r="4" ht="15" customHeight="1" s="225">
      <c r="B4" s="230" t="inlineStr">
        <is>
          <t>Paso 4 de 10  ·  Viene de: A1  ·  Sigue: A3 INHERENTE (solo lectura)</t>
        </is>
      </c>
    </row>
    <row r="6" ht="15" customHeight="1" s="225">
      <c r="B6" s="231" t="inlineStr">
        <is>
          <t>¿Qué pasaría si el riesgo LD/FT se materializa en tu entidad?</t>
        </is>
      </c>
      <c r="C6" s="232" t="n"/>
      <c r="D6" s="232" t="n"/>
      <c r="E6" s="232" t="n"/>
      <c r="F6" s="233" t="n"/>
      <c r="G6" s="231" t="inlineStr">
        <is>
          <t>Severidad (ref.)</t>
        </is>
      </c>
    </row>
    <row r="7" ht="78" customHeight="1" s="225">
      <c r="B7" s="288" t="inlineStr">
        <is>
          <t>Si una operación con recursos de procedencia ilícita se materializara en la entidad, el impacto sería simultáneo en cuatro planos. LEGAL: la multa por Aviso omitido es de 10,000 a 65,000 UMA, o del 10 al 100 % del valor del acto cuando sea cuantificable, la que resulte mayor (Art. 53 fr. VI con Art. 54 fr. III de la Ley) —entre $1,173,100 y $7,625,150 al valor vigente de la UMA, y en una operación de este tamaño manda el porcentaje— y la conducta puede escalar a responsabilidad penal por el Art. 400 Bis del Código Penal Federal para quien intervino a sabiendas. REPUTACIONAL: el negocio depende de la recomendación entre compradores y de la relación con tres desarrolladoras; una nota pública o un requerimiento conocido bastaría para frenar la preventa del desarrollo en curso. DE CONTAGIO: las instituciones financieras con las que se dispersan los recursos aplican sus propias medidas del Art. 115 de la LIC y pueden restringir o cancelar las cuentas de la entidad, lo que detendría la operación aunque no hubiera sanción. OPERATIVO: atender un requerimiento con expedientes incompletos consumiría a la Encargada de Cumplimiento y al área jurídica durante semanas, con el costo de oportunidad correspondiente.</t>
        </is>
      </c>
      <c r="C7" s="232" t="n"/>
      <c r="D7" s="232" t="n"/>
      <c r="E7" s="232" t="n"/>
      <c r="F7" s="233" t="n"/>
      <c r="G7" s="289" t="inlineStr">
        <is>
          <t>Grave</t>
        </is>
      </c>
    </row>
    <row r="8" ht="15" customHeight="1" s="225">
      <c r="B8" s="250" t="n"/>
      <c r="C8" s="250" t="n"/>
      <c r="D8" s="250" t="n"/>
      <c r="E8" s="250" t="n"/>
      <c r="F8" s="250" t="n"/>
      <c r="G8" s="250" t="n"/>
    </row>
    <row r="9" ht="30" customHeight="1" s="225">
      <c r="B9" s="290" t="inlineStr">
        <is>
          <t>Guía: cubre en la misma redacción las cuatro caras del impacto — legal (multas y sanciones), reputacional (imagen y pérdida de clientes), de contagio (relación con terceros ilícitos) y operativa (interrupción y costos). No hace falta separarlas por elemento de riesgo.</t>
        </is>
      </c>
    </row>
    <row r="10" ht="15" customHeight="1" s="225">
      <c r="B10" s="250" t="n"/>
      <c r="C10" s="250" t="n"/>
      <c r="D10" s="250" t="n"/>
      <c r="E10" s="250" t="n"/>
      <c r="F10" s="250" t="n"/>
      <c r="G10" s="250" t="n"/>
    </row>
    <row r="11" ht="15" customHeight="1" s="225">
      <c r="B11" s="250" t="n"/>
      <c r="C11" s="250" t="n"/>
      <c r="D11" s="250" t="n"/>
      <c r="E11" s="250" t="n"/>
      <c r="F11" s="250" t="n"/>
      <c r="G11" s="250" t="n"/>
    </row>
    <row r="12" ht="15" customHeight="1" s="225">
      <c r="B12" s="250" t="n"/>
      <c r="C12" s="250" t="n"/>
      <c r="D12" s="250" t="n"/>
      <c r="E12" s="250" t="n"/>
      <c r="F12" s="250" t="n"/>
      <c r="G12" s="250" t="n"/>
    </row>
  </sheetData>
  <mergeCells count="3">
    <mergeCell ref="B6:F6"/>
    <mergeCell ref="B7:F7"/>
    <mergeCell ref="B9:G9"/>
  </mergeCells>
  <dataValidations count="1">
    <dataValidation sqref="G7" showDropDown="0" showInputMessage="0" showErrorMessage="0" allowBlank="1" type="list" errorStyle="stop" operator="between">
      <formula1>"Leve,Moderado,Grave,Catastrófico"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548235"/>
    <outlinePr summaryBelow="1" summaryRight="1"/>
    <pageSetUpPr fitToPage="0"/>
  </sheetPr>
  <dimension ref="B2:G5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224" min="1" max="1"/>
    <col width="34" customWidth="1" style="224" min="2" max="2"/>
    <col width="30" customWidth="1" style="224" min="3" max="3"/>
    <col width="10" customWidth="1" style="224" min="4" max="6"/>
    <col width="14" customWidth="1" style="224" min="7" max="7"/>
    <col width="10" customWidth="1" style="224" min="8" max="8"/>
  </cols>
  <sheetData>
    <row r="2" ht="21.75" customHeight="1" s="225">
      <c r="B2" s="255" t="inlineStr">
        <is>
          <t>A3 · RIESGO INHERENTE = Calificación × Concentración (antes de controles)</t>
        </is>
      </c>
    </row>
    <row r="3" ht="15" customHeight="1" s="225">
      <c r="B3" s="256" t="inlineStr">
        <is>
          <t>Resultado en tres niveles: por elemento, por indicador y de la entidad.</t>
        </is>
      </c>
    </row>
    <row r="4" ht="15" customHeight="1" s="225">
      <c r="B4" s="230" t="inlineStr">
        <is>
          <t>Paso 5 de 10  ·  Se calcula solo  ·  Sigue: A4 CONTROLES MINIMOS</t>
        </is>
      </c>
    </row>
    <row r="5" ht="15" customHeight="1" s="225">
      <c r="B5" s="272" t="inlineStr">
        <is>
          <t>RIESGO INHERENTE POR ELEMENTO</t>
        </is>
      </c>
    </row>
    <row r="6" ht="15" customHeight="1" s="225">
      <c r="B6" s="231" t="inlineStr">
        <is>
          <t>Elemento</t>
        </is>
      </c>
      <c r="C6" s="231" t="inlineStr">
        <is>
          <t>Calif.</t>
        </is>
      </c>
      <c r="D6" s="231" t="inlineStr">
        <is>
          <t>Conc.</t>
        </is>
      </c>
      <c r="E6" s="231" t="inlineStr">
        <is>
          <t>Riesgo</t>
        </is>
      </c>
      <c r="F6" s="231" t="inlineStr">
        <is>
          <t>Nivel</t>
        </is>
      </c>
    </row>
    <row r="7" ht="15" customHeight="1" s="225">
      <c r="B7" s="291" t="inlineStr">
        <is>
          <t>1. Actos u operaciones</t>
        </is>
      </c>
      <c r="C7" s="292">
        <f>'A1 EXPOSICION'!E35</f>
        <v/>
      </c>
      <c r="D7" s="292">
        <f>'A1 EXPOSICION'!F35</f>
        <v/>
      </c>
      <c r="E7" s="292">
        <f>'A1 EXPOSICION'!G35</f>
        <v/>
      </c>
      <c r="F7" s="293">
        <f>IFERROR(INDEX(PARAMETROS!$E$15:$E$19,MATCH(E7,PARAMETROS!$B$15:$B$19,1)),"")</f>
        <v/>
      </c>
    </row>
    <row r="8" ht="15" customHeight="1" s="225">
      <c r="B8" s="291" t="inlineStr">
        <is>
          <t>2. Clientes / Usuarios</t>
        </is>
      </c>
      <c r="C8" s="292">
        <f>'A1 EXPOSICION'!E36</f>
        <v/>
      </c>
      <c r="D8" s="292">
        <f>'A1 EXPOSICION'!F36</f>
        <v/>
      </c>
      <c r="E8" s="292">
        <f>'A1 EXPOSICION'!G36</f>
        <v/>
      </c>
      <c r="F8" s="293">
        <f>IFERROR(INDEX(PARAMETROS!$E$15:$E$19,MATCH(E8,PARAMETROS!$B$15:$B$19,1)),"")</f>
        <v/>
      </c>
    </row>
    <row r="9" ht="15" customHeight="1" s="225">
      <c r="B9" s="291" t="inlineStr">
        <is>
          <t>3. Países y áreas geográficas</t>
        </is>
      </c>
      <c r="C9" s="292">
        <f>'A1 EXPOSICION'!E37</f>
        <v/>
      </c>
      <c r="D9" s="292">
        <f>'A1 EXPOSICION'!F37</f>
        <v/>
      </c>
      <c r="E9" s="292">
        <f>'A1 EXPOSICION'!G37</f>
        <v/>
      </c>
      <c r="F9" s="293">
        <f>IFERROR(INDEX(PARAMETROS!$E$15:$E$19,MATCH(E9,PARAMETROS!$B$15:$B$19,1)),"")</f>
        <v/>
      </c>
    </row>
    <row r="10" ht="15" customHeight="1" s="225">
      <c r="B10" s="291" t="inlineStr">
        <is>
          <t>4. Transacciones y canales</t>
        </is>
      </c>
      <c r="C10" s="292">
        <f>'A1 EXPOSICION'!E38</f>
        <v/>
      </c>
      <c r="D10" s="292">
        <f>'A1 EXPOSICION'!F38</f>
        <v/>
      </c>
      <c r="E10" s="292">
        <f>'A1 EXPOSICION'!G38</f>
        <v/>
      </c>
      <c r="F10" s="293">
        <f>IFERROR(INDEX(PARAMETROS!$E$15:$E$19,MATCH(E10,PARAMETROS!$B$15:$B$19,1)),"")</f>
        <v/>
      </c>
    </row>
    <row r="12" ht="15" customHeight="1" s="225">
      <c r="B12" s="294" t="inlineStr">
        <is>
          <t>RIESGO INHERENTE DE LA ENTIDAD</t>
        </is>
      </c>
      <c r="C12" s="281">
        <f>'A1 EXPOSICION'!E40</f>
        <v/>
      </c>
      <c r="D12" s="281">
        <f>'A1 EXPOSICION'!F40</f>
        <v/>
      </c>
      <c r="E12" s="281">
        <f>'A1 EXPOSICION'!G40</f>
        <v/>
      </c>
      <c r="F12" s="282">
        <f>IFERROR(INDEX(PARAMETROS!$E$15:$E$19,MATCH(E12,PARAMETROS!$B$15:$B$19,1)),"")</f>
        <v/>
      </c>
    </row>
    <row r="14" ht="15" customHeight="1" s="225">
      <c r="B14" s="272" t="inlineStr">
        <is>
          <t>RIESGO INHERENTE POR INDICADOR</t>
        </is>
      </c>
    </row>
    <row r="15" ht="15" customHeight="1" s="225">
      <c r="B15" s="231" t="inlineStr">
        <is>
          <t>#</t>
        </is>
      </c>
      <c r="C15" s="231" t="inlineStr">
        <is>
          <t>Indicador</t>
        </is>
      </c>
      <c r="D15" s="231" t="inlineStr">
        <is>
          <t>Calif.</t>
        </is>
      </c>
      <c r="E15" s="231" t="inlineStr">
        <is>
          <t>Conc.</t>
        </is>
      </c>
      <c r="F15" s="231" t="inlineStr">
        <is>
          <t>Riesgo</t>
        </is>
      </c>
      <c r="G15" s="231" t="inlineStr">
        <is>
          <t>Nivel</t>
        </is>
      </c>
    </row>
    <row r="16" ht="15" customHeight="1" s="225">
      <c r="B16" s="276" t="n">
        <v>1</v>
      </c>
      <c r="C16" s="291">
        <f>'A1 EXPOSICION'!D7</f>
        <v/>
      </c>
      <c r="D16" s="276">
        <f>IF('A1 EXPOSICION'!$G7="No","N/A",'A1 EXPOSICION'!P7)</f>
        <v/>
      </c>
      <c r="E16" s="276">
        <f>IF('A1 EXPOSICION'!$G7="No","N/A",'A1 EXPOSICION'!Q7)</f>
        <v/>
      </c>
      <c r="F16" s="276">
        <f>IF('A1 EXPOSICION'!$G7="No","N/A",'A1 EXPOSICION'!R7)</f>
        <v/>
      </c>
      <c r="G16" s="276">
        <f>IF('A1 EXPOSICION'!$G7="No","No aplica",IFERROR(INDEX(PARAMETROS!$E$15:$E$19,MATCH(F16,PARAMETROS!$B$15:$B$19,1)),""))</f>
        <v/>
      </c>
    </row>
    <row r="17" ht="15" customHeight="1" s="225">
      <c r="B17" s="276" t="n">
        <v>2</v>
      </c>
      <c r="C17" s="291">
        <f>'A1 EXPOSICION'!D8</f>
        <v/>
      </c>
      <c r="D17" s="276">
        <f>IF('A1 EXPOSICION'!$G8="No","N/A",'A1 EXPOSICION'!P8)</f>
        <v/>
      </c>
      <c r="E17" s="276">
        <f>IF('A1 EXPOSICION'!$G8="No","N/A",'A1 EXPOSICION'!Q8)</f>
        <v/>
      </c>
      <c r="F17" s="276">
        <f>IF('A1 EXPOSICION'!$G8="No","N/A",'A1 EXPOSICION'!R8)</f>
        <v/>
      </c>
      <c r="G17" s="276">
        <f>IF('A1 EXPOSICION'!$G8="No","No aplica",IFERROR(INDEX(PARAMETROS!$E$15:$E$19,MATCH(F17,PARAMETROS!$B$15:$B$19,1)),""))</f>
        <v/>
      </c>
    </row>
    <row r="18" ht="15" customHeight="1" s="225">
      <c r="B18" s="276" t="n">
        <v>3</v>
      </c>
      <c r="C18" s="291">
        <f>'A1 EXPOSICION'!D9</f>
        <v/>
      </c>
      <c r="D18" s="276">
        <f>IF('A1 EXPOSICION'!$G9="No","N/A",'A1 EXPOSICION'!P9)</f>
        <v/>
      </c>
      <c r="E18" s="276">
        <f>IF('A1 EXPOSICION'!$G9="No","N/A",'A1 EXPOSICION'!Q9)</f>
        <v/>
      </c>
      <c r="F18" s="276">
        <f>IF('A1 EXPOSICION'!$G9="No","N/A",'A1 EXPOSICION'!R9)</f>
        <v/>
      </c>
      <c r="G18" s="276">
        <f>IF('A1 EXPOSICION'!$G9="No","No aplica",IFERROR(INDEX(PARAMETROS!$E$15:$E$19,MATCH(F18,PARAMETROS!$B$15:$B$19,1)),""))</f>
        <v/>
      </c>
    </row>
    <row r="19" ht="15" customHeight="1" s="225">
      <c r="B19" s="276" t="n">
        <v>4</v>
      </c>
      <c r="C19" s="291">
        <f>'A1 EXPOSICION'!D10</f>
        <v/>
      </c>
      <c r="D19" s="276">
        <f>IF('A1 EXPOSICION'!$G10="No","N/A",'A1 EXPOSICION'!P10)</f>
        <v/>
      </c>
      <c r="E19" s="276">
        <f>IF('A1 EXPOSICION'!$G10="No","N/A",'A1 EXPOSICION'!Q10)</f>
        <v/>
      </c>
      <c r="F19" s="276">
        <f>IF('A1 EXPOSICION'!$G10="No","N/A",'A1 EXPOSICION'!R10)</f>
        <v/>
      </c>
      <c r="G19" s="276">
        <f>IF('A1 EXPOSICION'!$G10="No","No aplica",IFERROR(INDEX(PARAMETROS!$E$15:$E$19,MATCH(F19,PARAMETROS!$B$15:$B$19,1)),""))</f>
        <v/>
      </c>
    </row>
    <row r="20" ht="15" customHeight="1" s="225">
      <c r="B20" s="276" t="n">
        <v>5</v>
      </c>
      <c r="C20" s="291">
        <f>'A1 EXPOSICION'!D11</f>
        <v/>
      </c>
      <c r="D20" s="276">
        <f>IF('A1 EXPOSICION'!$G11="No","N/A",'A1 EXPOSICION'!P11)</f>
        <v/>
      </c>
      <c r="E20" s="276">
        <f>IF('A1 EXPOSICION'!$G11="No","N/A",'A1 EXPOSICION'!Q11)</f>
        <v/>
      </c>
      <c r="F20" s="276">
        <f>IF('A1 EXPOSICION'!$G11="No","N/A",'A1 EXPOSICION'!R11)</f>
        <v/>
      </c>
      <c r="G20" s="276">
        <f>IF('A1 EXPOSICION'!$G11="No","No aplica",IFERROR(INDEX(PARAMETROS!$E$15:$E$19,MATCH(F20,PARAMETROS!$B$15:$B$19,1)),""))</f>
        <v/>
      </c>
    </row>
    <row r="21" ht="15" customHeight="1" s="225">
      <c r="B21" s="276" t="n">
        <v>6</v>
      </c>
      <c r="C21" s="291">
        <f>'A1 EXPOSICION'!D12</f>
        <v/>
      </c>
      <c r="D21" s="276">
        <f>IF('A1 EXPOSICION'!$G12="No","N/A",'A1 EXPOSICION'!P12)</f>
        <v/>
      </c>
      <c r="E21" s="276">
        <f>IF('A1 EXPOSICION'!$G12="No","N/A",'A1 EXPOSICION'!Q12)</f>
        <v/>
      </c>
      <c r="F21" s="276">
        <f>IF('A1 EXPOSICION'!$G12="No","N/A",'A1 EXPOSICION'!R12)</f>
        <v/>
      </c>
      <c r="G21" s="276">
        <f>IF('A1 EXPOSICION'!$G12="No","No aplica",IFERROR(INDEX(PARAMETROS!$E$15:$E$19,MATCH(F21,PARAMETROS!$B$15:$B$19,1)),""))</f>
        <v/>
      </c>
    </row>
    <row r="22" ht="15" customHeight="1" s="225">
      <c r="B22" s="276" t="n">
        <v>7</v>
      </c>
      <c r="C22" s="291">
        <f>'A1 EXPOSICION'!D13</f>
        <v/>
      </c>
      <c r="D22" s="276">
        <f>IF('A1 EXPOSICION'!$G13="No","N/A",'A1 EXPOSICION'!P13)</f>
        <v/>
      </c>
      <c r="E22" s="276">
        <f>IF('A1 EXPOSICION'!$G13="No","N/A",'A1 EXPOSICION'!Q13)</f>
        <v/>
      </c>
      <c r="F22" s="276">
        <f>IF('A1 EXPOSICION'!$G13="No","N/A",'A1 EXPOSICION'!R13)</f>
        <v/>
      </c>
      <c r="G22" s="276">
        <f>IF('A1 EXPOSICION'!$G13="No","No aplica",IFERROR(INDEX(PARAMETROS!$E$15:$E$19,MATCH(F22,PARAMETROS!$B$15:$B$19,1)),""))</f>
        <v/>
      </c>
    </row>
    <row r="23" ht="15" customHeight="1" s="225">
      <c r="B23" s="276" t="n">
        <v>8</v>
      </c>
      <c r="C23" s="291">
        <f>'A1 EXPOSICION'!D14</f>
        <v/>
      </c>
      <c r="D23" s="276">
        <f>IF('A1 EXPOSICION'!$G14="No","N/A",'A1 EXPOSICION'!P14)</f>
        <v/>
      </c>
      <c r="E23" s="276">
        <f>IF('A1 EXPOSICION'!$G14="No","N/A",'A1 EXPOSICION'!Q14)</f>
        <v/>
      </c>
      <c r="F23" s="276">
        <f>IF('A1 EXPOSICION'!$G14="No","N/A",'A1 EXPOSICION'!R14)</f>
        <v/>
      </c>
      <c r="G23" s="276">
        <f>IF('A1 EXPOSICION'!$G14="No","No aplica",IFERROR(INDEX(PARAMETROS!$E$15:$E$19,MATCH(F23,PARAMETROS!$B$15:$B$19,1)),""))</f>
        <v/>
      </c>
    </row>
    <row r="24" ht="15" customHeight="1" s="225">
      <c r="B24" s="276" t="n">
        <v>9</v>
      </c>
      <c r="C24" s="291">
        <f>'A1 EXPOSICION'!D15</f>
        <v/>
      </c>
      <c r="D24" s="276">
        <f>IF('A1 EXPOSICION'!$G15="No","N/A",'A1 EXPOSICION'!P15)</f>
        <v/>
      </c>
      <c r="E24" s="276">
        <f>IF('A1 EXPOSICION'!$G15="No","N/A",'A1 EXPOSICION'!Q15)</f>
        <v/>
      </c>
      <c r="F24" s="276">
        <f>IF('A1 EXPOSICION'!$G15="No","N/A",'A1 EXPOSICION'!R15)</f>
        <v/>
      </c>
      <c r="G24" s="276">
        <f>IF('A1 EXPOSICION'!$G15="No","No aplica",IFERROR(INDEX(PARAMETROS!$E$15:$E$19,MATCH(F24,PARAMETROS!$B$15:$B$19,1)),""))</f>
        <v/>
      </c>
    </row>
    <row r="25" ht="15" customHeight="1" s="225">
      <c r="B25" s="276" t="n">
        <v>10</v>
      </c>
      <c r="C25" s="291">
        <f>'A1 EXPOSICION'!D16</f>
        <v/>
      </c>
      <c r="D25" s="276">
        <f>IF('A1 EXPOSICION'!$G16="No","N/A",'A1 EXPOSICION'!P16)</f>
        <v/>
      </c>
      <c r="E25" s="276">
        <f>IF('A1 EXPOSICION'!$G16="No","N/A",'A1 EXPOSICION'!Q16)</f>
        <v/>
      </c>
      <c r="F25" s="276">
        <f>IF('A1 EXPOSICION'!$G16="No","N/A",'A1 EXPOSICION'!R16)</f>
        <v/>
      </c>
      <c r="G25" s="276">
        <f>IF('A1 EXPOSICION'!$G16="No","No aplica",IFERROR(INDEX(PARAMETROS!$E$15:$E$19,MATCH(F25,PARAMETROS!$B$15:$B$19,1)),""))</f>
        <v/>
      </c>
    </row>
    <row r="26" ht="15" customHeight="1" s="225">
      <c r="B26" s="276" t="n">
        <v>11</v>
      </c>
      <c r="C26" s="291">
        <f>'A1 EXPOSICION'!D17</f>
        <v/>
      </c>
      <c r="D26" s="276">
        <f>IF('A1 EXPOSICION'!$G17="No","N/A",'A1 EXPOSICION'!P17)</f>
        <v/>
      </c>
      <c r="E26" s="276">
        <f>IF('A1 EXPOSICION'!$G17="No","N/A",'A1 EXPOSICION'!Q17)</f>
        <v/>
      </c>
      <c r="F26" s="276">
        <f>IF('A1 EXPOSICION'!$G17="No","N/A",'A1 EXPOSICION'!R17)</f>
        <v/>
      </c>
      <c r="G26" s="276">
        <f>IF('A1 EXPOSICION'!$G17="No","No aplica",IFERROR(INDEX(PARAMETROS!$E$15:$E$19,MATCH(F26,PARAMETROS!$B$15:$B$19,1)),""))</f>
        <v/>
      </c>
    </row>
    <row r="27" ht="15" customHeight="1" s="225">
      <c r="B27" s="276" t="n">
        <v>12</v>
      </c>
      <c r="C27" s="291">
        <f>'A1 EXPOSICION'!D18</f>
        <v/>
      </c>
      <c r="D27" s="276">
        <f>IF('A1 EXPOSICION'!$G18="No","N/A",'A1 EXPOSICION'!P18)</f>
        <v/>
      </c>
      <c r="E27" s="276">
        <f>IF('A1 EXPOSICION'!$G18="No","N/A",'A1 EXPOSICION'!Q18)</f>
        <v/>
      </c>
      <c r="F27" s="276">
        <f>IF('A1 EXPOSICION'!$G18="No","N/A",'A1 EXPOSICION'!R18)</f>
        <v/>
      </c>
      <c r="G27" s="276">
        <f>IF('A1 EXPOSICION'!$G18="No","No aplica",IFERROR(INDEX(PARAMETROS!$E$15:$E$19,MATCH(F27,PARAMETROS!$B$15:$B$19,1)),""))</f>
        <v/>
      </c>
    </row>
    <row r="28" ht="15" customHeight="1" s="225">
      <c r="B28" s="276" t="n">
        <v>13</v>
      </c>
      <c r="C28" s="291">
        <f>'A1 EXPOSICION'!D19</f>
        <v/>
      </c>
      <c r="D28" s="276">
        <f>IF('A1 EXPOSICION'!$G19="No","N/A",'A1 EXPOSICION'!P19)</f>
        <v/>
      </c>
      <c r="E28" s="276">
        <f>IF('A1 EXPOSICION'!$G19="No","N/A",'A1 EXPOSICION'!Q19)</f>
        <v/>
      </c>
      <c r="F28" s="276">
        <f>IF('A1 EXPOSICION'!$G19="No","N/A",'A1 EXPOSICION'!R19)</f>
        <v/>
      </c>
      <c r="G28" s="276">
        <f>IF('A1 EXPOSICION'!$G19="No","No aplica",IFERROR(INDEX(PARAMETROS!$E$15:$E$19,MATCH(F28,PARAMETROS!$B$15:$B$19,1)),""))</f>
        <v/>
      </c>
    </row>
    <row r="29" ht="15" customHeight="1" s="225">
      <c r="B29" s="276" t="n">
        <v>14</v>
      </c>
      <c r="C29" s="291">
        <f>'A1 EXPOSICION'!D20</f>
        <v/>
      </c>
      <c r="D29" s="276">
        <f>IF('A1 EXPOSICION'!$G20="No","N/A",'A1 EXPOSICION'!P20)</f>
        <v/>
      </c>
      <c r="E29" s="276">
        <f>IF('A1 EXPOSICION'!$G20="No","N/A",'A1 EXPOSICION'!Q20)</f>
        <v/>
      </c>
      <c r="F29" s="276">
        <f>IF('A1 EXPOSICION'!$G20="No","N/A",'A1 EXPOSICION'!R20)</f>
        <v/>
      </c>
      <c r="G29" s="276">
        <f>IF('A1 EXPOSICION'!$G20="No","No aplica",IFERROR(INDEX(PARAMETROS!$E$15:$E$19,MATCH(F29,PARAMETROS!$B$15:$B$19,1)),""))</f>
        <v/>
      </c>
    </row>
    <row r="30" ht="15" customHeight="1" s="225">
      <c r="B30" s="276" t="n">
        <v>15</v>
      </c>
      <c r="C30" s="291">
        <f>'A1 EXPOSICION'!D21</f>
        <v/>
      </c>
      <c r="D30" s="276">
        <f>IF('A1 EXPOSICION'!$G21="No","N/A",'A1 EXPOSICION'!P21)</f>
        <v/>
      </c>
      <c r="E30" s="276">
        <f>IF('A1 EXPOSICION'!$G21="No","N/A",'A1 EXPOSICION'!Q21)</f>
        <v/>
      </c>
      <c r="F30" s="276">
        <f>IF('A1 EXPOSICION'!$G21="No","N/A",'A1 EXPOSICION'!R21)</f>
        <v/>
      </c>
      <c r="G30" s="276">
        <f>IF('A1 EXPOSICION'!$G21="No","No aplica",IFERROR(INDEX(PARAMETROS!$E$15:$E$19,MATCH(F30,PARAMETROS!$B$15:$B$19,1)),""))</f>
        <v/>
      </c>
    </row>
    <row r="31" ht="15" customHeight="1" s="225">
      <c r="B31" s="276" t="n">
        <v>16</v>
      </c>
      <c r="C31" s="291">
        <f>'A1 EXPOSICION'!D22</f>
        <v/>
      </c>
      <c r="D31" s="276">
        <f>IF('A1 EXPOSICION'!$G22="No","N/A",'A1 EXPOSICION'!P22)</f>
        <v/>
      </c>
      <c r="E31" s="276">
        <f>IF('A1 EXPOSICION'!$G22="No","N/A",'A1 EXPOSICION'!Q22)</f>
        <v/>
      </c>
      <c r="F31" s="276">
        <f>IF('A1 EXPOSICION'!$G22="No","N/A",'A1 EXPOSICION'!R22)</f>
        <v/>
      </c>
      <c r="G31" s="276">
        <f>IF('A1 EXPOSICION'!$G22="No","No aplica",IFERROR(INDEX(PARAMETROS!$E$15:$E$19,MATCH(F31,PARAMETROS!$B$15:$B$19,1)),""))</f>
        <v/>
      </c>
    </row>
    <row r="32" ht="15" customHeight="1" s="225">
      <c r="B32" s="276" t="n">
        <v>17</v>
      </c>
      <c r="C32" s="291">
        <f>'A1 EXPOSICION'!D23</f>
        <v/>
      </c>
      <c r="D32" s="276">
        <f>IF('A1 EXPOSICION'!$G23="No","N/A",'A1 EXPOSICION'!P23)</f>
        <v/>
      </c>
      <c r="E32" s="276">
        <f>IF('A1 EXPOSICION'!$G23="No","N/A",'A1 EXPOSICION'!Q23)</f>
        <v/>
      </c>
      <c r="F32" s="276">
        <f>IF('A1 EXPOSICION'!$G23="No","N/A",'A1 EXPOSICION'!R23)</f>
        <v/>
      </c>
      <c r="G32" s="276">
        <f>IF('A1 EXPOSICION'!$G23="No","No aplica",IFERROR(INDEX(PARAMETROS!$E$15:$E$19,MATCH(F32,PARAMETROS!$B$15:$B$19,1)),""))</f>
        <v/>
      </c>
    </row>
    <row r="33" ht="15" customHeight="1" s="225">
      <c r="B33" s="276" t="n">
        <v>18</v>
      </c>
      <c r="C33" s="291">
        <f>'A1 EXPOSICION'!D24</f>
        <v/>
      </c>
      <c r="D33" s="276">
        <f>IF('A1 EXPOSICION'!$G24="No","N/A",'A1 EXPOSICION'!P24)</f>
        <v/>
      </c>
      <c r="E33" s="276">
        <f>IF('A1 EXPOSICION'!$G24="No","N/A",'A1 EXPOSICION'!Q24)</f>
        <v/>
      </c>
      <c r="F33" s="276">
        <f>IF('A1 EXPOSICION'!$G24="No","N/A",'A1 EXPOSICION'!R24)</f>
        <v/>
      </c>
      <c r="G33" s="276">
        <f>IF('A1 EXPOSICION'!$G24="No","No aplica",IFERROR(INDEX(PARAMETROS!$E$15:$E$19,MATCH(F33,PARAMETROS!$B$15:$B$19,1)),""))</f>
        <v/>
      </c>
    </row>
    <row r="34" ht="15" customHeight="1" s="225">
      <c r="B34" s="276" t="n">
        <v>19</v>
      </c>
      <c r="C34" s="291">
        <f>'A1 EXPOSICION'!D25</f>
        <v/>
      </c>
      <c r="D34" s="276">
        <f>IF('A1 EXPOSICION'!$G25="No","N/A",'A1 EXPOSICION'!P25)</f>
        <v/>
      </c>
      <c r="E34" s="276">
        <f>IF('A1 EXPOSICION'!$G25="No","N/A",'A1 EXPOSICION'!Q25)</f>
        <v/>
      </c>
      <c r="F34" s="276">
        <f>IF('A1 EXPOSICION'!$G25="No","N/A",'A1 EXPOSICION'!R25)</f>
        <v/>
      </c>
      <c r="G34" s="276">
        <f>IF('A1 EXPOSICION'!$G25="No","No aplica",IFERROR(INDEX(PARAMETROS!$E$15:$E$19,MATCH(F34,PARAMETROS!$B$15:$B$19,1)),""))</f>
        <v/>
      </c>
    </row>
    <row r="35" ht="15" customHeight="1" s="225">
      <c r="B35" s="276" t="n">
        <v>20</v>
      </c>
      <c r="C35" s="291">
        <f>'A1 EXPOSICION'!D26</f>
        <v/>
      </c>
      <c r="D35" s="276">
        <f>IF('A1 EXPOSICION'!$G26="No","N/A",'A1 EXPOSICION'!P26)</f>
        <v/>
      </c>
      <c r="E35" s="276">
        <f>IF('A1 EXPOSICION'!$G26="No","N/A",'A1 EXPOSICION'!Q26)</f>
        <v/>
      </c>
      <c r="F35" s="276">
        <f>IF('A1 EXPOSICION'!$G26="No","N/A",'A1 EXPOSICION'!R26)</f>
        <v/>
      </c>
      <c r="G35" s="276">
        <f>IF('A1 EXPOSICION'!$G26="No","No aplica",IFERROR(INDEX(PARAMETROS!$E$15:$E$19,MATCH(F35,PARAMETROS!$B$15:$B$19,1)),""))</f>
        <v/>
      </c>
    </row>
    <row r="36" ht="15" customHeight="1" s="225">
      <c r="B36" s="276" t="n">
        <v>21</v>
      </c>
      <c r="C36" s="291">
        <f>'A1 EXPOSICION'!D27</f>
        <v/>
      </c>
      <c r="D36" s="276">
        <f>IF('A1 EXPOSICION'!$G27="No","N/A",'A1 EXPOSICION'!P27)</f>
        <v/>
      </c>
      <c r="E36" s="276">
        <f>IF('A1 EXPOSICION'!$G27="No","N/A",'A1 EXPOSICION'!Q27)</f>
        <v/>
      </c>
      <c r="F36" s="276">
        <f>IF('A1 EXPOSICION'!$G27="No","N/A",'A1 EXPOSICION'!R27)</f>
        <v/>
      </c>
      <c r="G36" s="276">
        <f>IF('A1 EXPOSICION'!$G27="No","No aplica",IFERROR(INDEX(PARAMETROS!$E$15:$E$19,MATCH(F36,PARAMETROS!$B$15:$B$19,1)),""))</f>
        <v/>
      </c>
    </row>
    <row r="37" ht="15" customHeight="1" s="225">
      <c r="B37" s="276" t="n">
        <v>22</v>
      </c>
      <c r="C37" s="291">
        <f>'A1 EXPOSICION'!D28</f>
        <v/>
      </c>
      <c r="D37" s="276">
        <f>IF('A1 EXPOSICION'!$G28="No","N/A",'A1 EXPOSICION'!P28)</f>
        <v/>
      </c>
      <c r="E37" s="276">
        <f>IF('A1 EXPOSICION'!$G28="No","N/A",'A1 EXPOSICION'!Q28)</f>
        <v/>
      </c>
      <c r="F37" s="276">
        <f>IF('A1 EXPOSICION'!$G28="No","N/A",'A1 EXPOSICION'!R28)</f>
        <v/>
      </c>
      <c r="G37" s="276">
        <f>IF('A1 EXPOSICION'!$G28="No","No aplica",IFERROR(INDEX(PARAMETROS!$E$15:$E$19,MATCH(F37,PARAMETROS!$B$15:$B$19,1)),""))</f>
        <v/>
      </c>
    </row>
    <row r="38" ht="15" customHeight="1" s="225">
      <c r="B38" s="276" t="n">
        <v>23</v>
      </c>
      <c r="C38" s="291">
        <f>'A1 EXPOSICION'!D29</f>
        <v/>
      </c>
      <c r="D38" s="276">
        <f>IF('A1 EXPOSICION'!$G29="No","N/A",'A1 EXPOSICION'!P29)</f>
        <v/>
      </c>
      <c r="E38" s="276">
        <f>IF('A1 EXPOSICION'!$G29="No","N/A",'A1 EXPOSICION'!Q29)</f>
        <v/>
      </c>
      <c r="F38" s="276">
        <f>IF('A1 EXPOSICION'!$G29="No","N/A",'A1 EXPOSICION'!R29)</f>
        <v/>
      </c>
      <c r="G38" s="276">
        <f>IF('A1 EXPOSICION'!$G29="No","No aplica",IFERROR(INDEX(PARAMETROS!$E$15:$E$19,MATCH(F38,PARAMETROS!$B$15:$B$19,1)),""))</f>
        <v/>
      </c>
    </row>
    <row r="39" ht="15" customHeight="1" s="225">
      <c r="B39" s="276" t="n">
        <v>24</v>
      </c>
      <c r="C39" s="291">
        <f>'A1 EXPOSICION'!D30</f>
        <v/>
      </c>
      <c r="D39" s="276">
        <f>IF('A1 EXPOSICION'!$G30="No","N/A",'A1 EXPOSICION'!P30)</f>
        <v/>
      </c>
      <c r="E39" s="276">
        <f>IF('A1 EXPOSICION'!$G30="No","N/A",'A1 EXPOSICION'!Q30)</f>
        <v/>
      </c>
      <c r="F39" s="276">
        <f>IF('A1 EXPOSICION'!$G30="No","N/A",'A1 EXPOSICION'!R30)</f>
        <v/>
      </c>
      <c r="G39" s="276">
        <f>IF('A1 EXPOSICION'!$G30="No","No aplica",IFERROR(INDEX(PARAMETROS!$E$15:$E$19,MATCH(F39,PARAMETROS!$B$15:$B$19,1)),""))</f>
        <v/>
      </c>
    </row>
    <row r="40" ht="15" customHeight="1" s="225">
      <c r="B40" s="276" t="n">
        <v>25</v>
      </c>
      <c r="C40" s="291">
        <f>'A1 EXPOSICION'!D31</f>
        <v/>
      </c>
      <c r="D40" s="276">
        <f>IF('A1 EXPOSICION'!$G31="No","N/A",'A1 EXPOSICION'!P31)</f>
        <v/>
      </c>
      <c r="E40" s="276">
        <f>IF('A1 EXPOSICION'!$G31="No","N/A",'A1 EXPOSICION'!Q31)</f>
        <v/>
      </c>
      <c r="F40" s="276">
        <f>IF('A1 EXPOSICION'!$G31="No","N/A",'A1 EXPOSICION'!R31)</f>
        <v/>
      </c>
      <c r="G40" s="276">
        <f>IF('A1 EXPOSICION'!$G31="No","No aplica",IFERROR(INDEX(PARAMETROS!$E$15:$E$19,MATCH(F40,PARAMETROS!$B$15:$B$19,1)),""))</f>
        <v/>
      </c>
    </row>
    <row r="41" ht="45.75" customHeight="1" s="225">
      <c r="B41" s="295" t="inlineStr">
        <is>
          <t>Un indicador marcado «No aplica» en A1 se muestra aquí como «No aplica», no como riesgo cero: no se evaluó, no es que haya salido bajo. Sale del numerador y del denominador del elemento.</t>
        </is>
      </c>
    </row>
    <row r="43" ht="15" customHeight="1" s="225">
      <c r="B43" s="272" t="inlineStr">
        <is>
          <t>MAPA DE CALOR — Calificación (col) × Concentración (fila)</t>
        </is>
      </c>
    </row>
    <row r="44" ht="15" customHeight="1" s="225">
      <c r="B44" s="296" t="inlineStr">
        <is>
          <t>Conc\Calif</t>
        </is>
      </c>
      <c r="C44" s="296" t="n">
        <v>1</v>
      </c>
      <c r="D44" s="296" t="n">
        <v>2</v>
      </c>
      <c r="E44" s="296" t="n">
        <v>3</v>
      </c>
      <c r="F44" s="296" t="n">
        <v>4</v>
      </c>
      <c r="G44" s="296" t="n">
        <v>5</v>
      </c>
    </row>
    <row r="45" ht="15" customHeight="1" s="225">
      <c r="B45" s="286" t="n">
        <v>5</v>
      </c>
      <c r="C45" s="297" t="n">
        <v>5</v>
      </c>
      <c r="D45" s="298" t="n">
        <v>10</v>
      </c>
      <c r="E45" s="299" t="n">
        <v>15</v>
      </c>
      <c r="F45" s="300" t="n">
        <v>20</v>
      </c>
      <c r="G45" s="300" t="n">
        <v>25</v>
      </c>
    </row>
    <row r="46" ht="15" customHeight="1" s="225">
      <c r="B46" s="286" t="n">
        <v>4</v>
      </c>
      <c r="C46" s="297" t="n">
        <v>4</v>
      </c>
      <c r="D46" s="301" t="n">
        <v>8</v>
      </c>
      <c r="E46" s="298" t="n">
        <v>12</v>
      </c>
      <c r="F46" s="299" t="n">
        <v>16</v>
      </c>
      <c r="G46" s="300" t="n">
        <v>20</v>
      </c>
    </row>
    <row r="47" ht="15" customHeight="1" s="225">
      <c r="B47" s="286" t="n">
        <v>3</v>
      </c>
      <c r="C47" s="297" t="n">
        <v>3</v>
      </c>
      <c r="D47" s="301" t="n">
        <v>6</v>
      </c>
      <c r="E47" s="301" t="n">
        <v>9</v>
      </c>
      <c r="F47" s="298" t="n">
        <v>12</v>
      </c>
      <c r="G47" s="299" t="n">
        <v>15</v>
      </c>
    </row>
    <row r="48" ht="15" customHeight="1" s="225">
      <c r="B48" s="286" t="n">
        <v>2</v>
      </c>
      <c r="C48" s="297" t="n">
        <v>2</v>
      </c>
      <c r="D48" s="297" t="n">
        <v>4</v>
      </c>
      <c r="E48" s="301" t="n">
        <v>6</v>
      </c>
      <c r="F48" s="301" t="n">
        <v>8</v>
      </c>
      <c r="G48" s="298" t="n">
        <v>10</v>
      </c>
    </row>
    <row r="49" ht="15" customHeight="1" s="225">
      <c r="B49" s="286" t="n">
        <v>1</v>
      </c>
      <c r="C49" s="297" t="n">
        <v>1</v>
      </c>
      <c r="D49" s="297" t="n">
        <v>2</v>
      </c>
      <c r="E49" s="297" t="n">
        <v>3</v>
      </c>
      <c r="F49" s="297" t="n">
        <v>4</v>
      </c>
      <c r="G49" s="297" t="n">
        <v>5</v>
      </c>
    </row>
    <row r="51" ht="15" customHeight="1" s="225">
      <c r="B51" s="286" t="inlineStr">
        <is>
          <t>Tu entidad (nivel inherente):</t>
        </is>
      </c>
      <c r="D51" s="302">
        <f>'A3 INHERENTE'!$F$12</f>
        <v/>
      </c>
    </row>
  </sheetData>
  <mergeCells count="4">
    <mergeCell ref="B5:G5"/>
    <mergeCell ref="B14:G14"/>
    <mergeCell ref="B51:C51"/>
    <mergeCell ref="B43:G43"/>
  </mergeCells>
  <conditionalFormatting sqref="F7:F10">
    <cfRule type="expression" rank="0" priority="2" equalAverage="0" aboveAverage="0" dxfId="2" text="" percent="0" bottom="0">
      <formula>EXACT(F7,"BAJO")</formula>
    </cfRule>
    <cfRule type="expression" rank="0" priority="3" equalAverage="0" aboveAverage="0" dxfId="3" text="" percent="0" bottom="0">
      <formula>EXACT(F7,"MEDIO BAJO")</formula>
    </cfRule>
    <cfRule type="expression" rank="0" priority="4" equalAverage="0" aboveAverage="0" dxfId="4" text="" percent="0" bottom="0">
      <formula>EXACT(F7,"MEDIO")</formula>
    </cfRule>
    <cfRule type="expression" rank="0" priority="5" equalAverage="0" aboveAverage="0" dxfId="5" text="" percent="0" bottom="0">
      <formula>EXACT(F7,"MEDIO ALTO")</formula>
    </cfRule>
    <cfRule type="expression" rank="0" priority="6" equalAverage="0" aboveAverage="0" dxfId="6" text="" percent="0" bottom="0">
      <formula>EXACT(F7,"ALTO")</formula>
    </cfRule>
  </conditionalFormatting>
  <conditionalFormatting sqref="F12">
    <cfRule type="expression" rank="0" priority="7" equalAverage="0" aboveAverage="0" dxfId="2" text="" percent="0" bottom="0">
      <formula>EXACT(F12,"BAJO")</formula>
    </cfRule>
    <cfRule type="expression" rank="0" priority="8" equalAverage="0" aboveAverage="0" dxfId="3" text="" percent="0" bottom="0">
      <formula>EXACT(F12,"MEDIO BAJO")</formula>
    </cfRule>
    <cfRule type="expression" rank="0" priority="9" equalAverage="0" aboveAverage="0" dxfId="4" text="" percent="0" bottom="0">
      <formula>EXACT(F12,"MEDIO")</formula>
    </cfRule>
    <cfRule type="expression" rank="0" priority="10" equalAverage="0" aboveAverage="0" dxfId="5" text="" percent="0" bottom="0">
      <formula>EXACT(F12,"MEDIO ALTO")</formula>
    </cfRule>
    <cfRule type="expression" rank="0" priority="11" equalAverage="0" aboveAverage="0" dxfId="6" text="" percent="0" bottom="0">
      <formula>EXACT(F12,"ALTO")</formula>
    </cfRule>
  </conditionalFormatting>
  <conditionalFormatting sqref="G16:G40">
    <cfRule type="expression" rank="0" priority="12" equalAverage="0" aboveAverage="0" dxfId="2" text="" percent="0" bottom="0">
      <formula>EXACT(G16,"BAJO")</formula>
    </cfRule>
    <cfRule type="expression" rank="0" priority="13" equalAverage="0" aboveAverage="0" dxfId="3" text="" percent="0" bottom="0">
      <formula>EXACT(G16,"MEDIO BAJO")</formula>
    </cfRule>
    <cfRule type="expression" rank="0" priority="14" equalAverage="0" aboveAverage="0" dxfId="4" text="" percent="0" bottom="0">
      <formula>EXACT(G16,"MEDIO")</formula>
    </cfRule>
    <cfRule type="expression" rank="0" priority="15" equalAverage="0" aboveAverage="0" dxfId="5" text="" percent="0" bottom="0">
      <formula>EXACT(G16,"MEDIO ALTO")</formula>
    </cfRule>
    <cfRule type="expression" rank="0" priority="16" equalAverage="0" aboveAverage="0" dxfId="6" text="" percent="0" bottom="0">
      <formula>EXACT(G16,"ALTO")</formula>
    </cfRule>
  </conditionalFormatting>
  <conditionalFormatting sqref="D51">
    <cfRule type="expression" rank="0" priority="17" equalAverage="0" aboveAverage="0" dxfId="2" text="" percent="0" bottom="0">
      <formula>EXACT(D51,"BAJO")</formula>
    </cfRule>
    <cfRule type="expression" rank="0" priority="18" equalAverage="0" aboveAverage="0" dxfId="3" text="" percent="0" bottom="0">
      <formula>EXACT(D51,"MEDIO BAJO")</formula>
    </cfRule>
    <cfRule type="expression" rank="0" priority="19" equalAverage="0" aboveAverage="0" dxfId="4" text="" percent="0" bottom="0">
      <formula>EXACT(D51,"MEDIO")</formula>
    </cfRule>
    <cfRule type="expression" rank="0" priority="20" equalAverage="0" aboveAverage="0" dxfId="5" text="" percent="0" bottom="0">
      <formula>EXACT(D51,"MEDIO ALTO")</formula>
    </cfRule>
    <cfRule type="expression" rank="0" priority="21" equalAverage="0" aboveAverage="0" dxfId="6" text="" percent="0" bottom="0">
      <formula>EXACT(D51,"ALTO")</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FFC000"/>
    <outlinePr summaryBelow="1" summaryRight="1"/>
    <pageSetUpPr fitToPage="0"/>
  </sheetPr>
  <dimension ref="B2:L44"/>
  <sheetViews>
    <sheetView showFormulas="0" showGridLines="0" showRowColHeaders="1" showZeros="1" rightToLeft="0" tabSelected="0" showOutlineSymbols="1" defaultGridColor="1"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baseColWidth="8" defaultColWidth="8.6796875" defaultRowHeight="15" zeroHeight="0" outlineLevelRow="0"/>
  <cols>
    <col width="6" customWidth="1" style="224" min="2" max="2"/>
    <col width="42" customWidth="1" style="224" min="3" max="3"/>
    <col width="30" customWidth="1" style="224" min="4" max="4"/>
    <col width="48" customWidth="1" style="224" min="5" max="5"/>
    <col width="12" customWidth="1" style="224" min="6" max="6"/>
    <col width="22" customWidth="1" style="224" min="7" max="7"/>
    <col width="8" customWidth="1" style="224" min="8" max="8"/>
    <col width="22" customWidth="1" style="224" min="9" max="9"/>
    <col width="46" customWidth="1" style="224" min="10" max="10"/>
    <col width="34" customWidth="1" style="224" min="11" max="11"/>
    <col width="40" customWidth="1" style="224" min="12" max="12"/>
  </cols>
  <sheetData>
    <row r="2" ht="17.25" customHeight="1" s="225">
      <c r="B2" s="303" t="inlineStr">
        <is>
          <t>A4 · CATÁLOGO DE CONTROLES MÍNIMOS — las 14 obligaciones del Manual (Art. 37 Bis)</t>
        </is>
      </c>
    </row>
    <row r="3" ht="501.75" customHeight="1" s="225">
      <c r="B3" s="304" t="inlineStr">
        <is>
          <t>Éste es el denominador de la mitigación. La efectividad NO se promedia sobre los controles que registres: se mide contra las 14 obligaciones del catálogo. Una obligación no registrada computa 0%; solo sale del cálculo si es «No aplica» conforme al Art. 37 Bis 2 y así consta en tu Manual.</t>
        </is>
      </c>
    </row>
    <row r="4" ht="15" customHeight="1" s="225">
      <c r="B4" s="230" t="inlineStr">
        <is>
          <t>Paso 6 de 10  ·  Viene de: A3 INHERENTE  ·  Sigue: A5 RESIDUAL  ·  Controles por encima del mínimo: A4 BIS</t>
        </is>
      </c>
    </row>
    <row r="6" ht="33.75" customHeight="1" s="225">
      <c r="B6" s="305" t="inlineStr">
        <is>
          <t>Fr.</t>
        </is>
      </c>
      <c r="C6" s="305" t="inlineStr">
        <is>
          <t>Contenido mínimo del Manual (Art. 37 Bis)</t>
        </is>
      </c>
      <c r="D6" s="305" t="inlineStr">
        <is>
          <t>Fundamento verificado</t>
        </is>
      </c>
      <c r="E6" s="305" t="inlineStr">
        <is>
          <t>Qué se espera (referencia)</t>
        </is>
      </c>
      <c r="F6" s="305" t="inlineStr">
        <is>
          <t>¿Admite
«No aplica»?</t>
        </is>
      </c>
      <c r="G6" s="305" t="inlineStr">
        <is>
          <t>Resultado (Art. 48)</t>
        </is>
      </c>
      <c r="H6" s="305" t="inlineStr">
        <is>
          <t>%</t>
        </is>
      </c>
      <c r="I6" s="305" t="inlineStr">
        <is>
          <t>Numeral del Manual que lo prevé</t>
        </is>
      </c>
      <c r="J6" s="305" t="inlineStr">
        <is>
          <t>Evidencia de aplicación efectiva y dónde se resguarda</t>
        </is>
      </c>
      <c r="K6" s="305" t="inlineStr">
        <is>
          <t>Justificación del «No aplica» (numeral del Manual, Art. 37 Bis 2)</t>
        </is>
      </c>
      <c r="L6" s="305" t="inlineStr">
        <is>
          <t>Aviso</t>
        </is>
      </c>
    </row>
    <row r="7" ht="57.75" customHeight="1" s="225">
      <c r="B7" s="306" t="inlineStr">
        <is>
          <t>I</t>
        </is>
      </c>
      <c r="C7" s="307" t="inlineStr">
        <is>
          <t>Criterios para la identificación y conocimiento de Clientes o Usuarias</t>
        </is>
      </c>
      <c r="D7" s="307" t="inlineStr">
        <is>
          <t>Arts. 12, 17 y 17 Bis; Cap. III Ter</t>
        </is>
      </c>
      <c r="E7" s="307" t="inlineStr">
        <is>
          <t>Procedimiento escrito para integrar el expediente según el Grado de Riesgo, con los datos y documentos de los Anexos aplicables a tu fracción, verificación de identidad y cuestionario de conocimiento del Cliente.</t>
        </is>
      </c>
      <c r="F7" s="308" t="inlineStr">
        <is>
          <t>No</t>
        </is>
      </c>
      <c r="G7" s="309" t="inlineStr">
        <is>
          <t>Cumple</t>
        </is>
      </c>
      <c r="H7" s="310">
        <f>IF($G7="","",IF($G7="No aplica","",IF(OR($I7="",$J7=""),0,IFERROR(INDEX(PARAMETROS!$I$15:$I$18,MATCH($G7,PARAMETROS!$H$15:$H$18,0)),0))))</f>
        <v/>
      </c>
      <c r="I7" s="309" t="inlineStr">
        <is>
          <t>Manual, numeral 4.1</t>
        </is>
      </c>
      <c r="J7" s="309" t="inlineStr">
        <is>
          <t>Expedientes íntegros con acuse de verificación de identificación oficial; muestreo trimestral firmado.</t>
        </is>
      </c>
      <c r="K7" s="309" t="n"/>
      <c r="L7" s="311">
        <f>IF($G7="","Falta calificar esta obligación del Manual (Art. 37 Bis).",IF($G7="No aplica",IF($K7="","Exclusión sin constancia en el Manual: el Art. 37 Bis 2 exige hacerla constar por escrito.",""),IF($G7="No cumple","No cumple: puede actualizar una sanción (Art. 48 fr. IV). Llévalo al plan de acción de A8.",IF(OR($I7="",$J7=""),"Sin numeral del Manual o sin evidencia de aplicación efectiva: la obligación computa 0% (Art. 10 Septies 1, fr. III).",""))))</f>
        <v/>
      </c>
    </row>
    <row r="8" ht="57.75" customHeight="1" s="225">
      <c r="B8" s="306" t="inlineStr">
        <is>
          <t>II</t>
        </is>
      </c>
      <c r="C8" s="307" t="inlineStr">
        <is>
          <t>Mecanismos de clasificación de Riesgo</t>
        </is>
      </c>
      <c r="D8" s="307" t="inlineStr">
        <is>
          <t>Art. 23 Bis</t>
        </is>
      </c>
      <c r="E8" s="307" t="inlineStr">
        <is>
          <t>Modelo escrito que califique a cada Cliente en al menos tres grados, congruente con esta metodología, con reevaluación al menos cada seis meses (hoja B CLIENTE).</t>
        </is>
      </c>
      <c r="F8" s="308" t="inlineStr">
        <is>
          <t>No</t>
        </is>
      </c>
      <c r="G8" s="309" t="inlineStr">
        <is>
          <t>Cumple mayoritariamente</t>
        </is>
      </c>
      <c r="H8" s="310">
        <f>IF($G8="","",IF($G8="No aplica","",IF(OR($I8="",$J8=""),0,IFERROR(INDEX(PARAMETROS!$I$15:$I$18,MATCH($G8,PARAMETROS!$H$15:$H$18,0)),0))))</f>
        <v/>
      </c>
      <c r="I8" s="309" t="inlineStr">
        <is>
          <t>Manual, numeral 4.3</t>
        </is>
      </c>
      <c r="J8" s="309" t="inlineStr">
        <is>
          <t>Cédulas de calificación de los 86 Clientes; falta evidenciar la reevaluación semestral de dos de ellos.</t>
        </is>
      </c>
      <c r="K8" s="309" t="n"/>
      <c r="L8" s="311">
        <f>IF($G8="","Falta calificar esta obligación del Manual (Art. 37 Bis).",IF($G8="No aplica",IF($K8="","Exclusión sin constancia en el Manual: el Art. 37 Bis 2 exige hacerla constar por escrito.",""),IF($G8="No cumple","No cumple: puede actualizar una sanción (Art. 48 fr. IV). Llévalo al plan de acción de A8.",IF(OR($I8="",$J8=""),"Sin numeral del Manual o sin evidencia de aplicación efectiva: la obligación computa 0% (Art. 10 Septies 1, fr. III).",""))))</f>
        <v/>
      </c>
    </row>
    <row r="9" ht="57.75" customHeight="1" s="225">
      <c r="B9" s="306" t="inlineStr">
        <is>
          <t>III</t>
        </is>
      </c>
      <c r="C9" s="307" t="inlineStr">
        <is>
          <t>Medidas de debida diligencia aplicables conforme al Grado de Riesgo</t>
        </is>
      </c>
      <c r="D9" s="307" t="inlineStr">
        <is>
          <t>Arts. 17 y 17 Bis; Arts. 23 Ter 1 a 5</t>
        </is>
      </c>
      <c r="E9" s="307" t="inlineStr">
        <is>
          <t>Regla explícita de qué expediente corresponde a cada grado: simplificado, completo del Art. 12, o reforzado con cuestionario y Firma Electrónica.</t>
        </is>
      </c>
      <c r="F9" s="308" t="inlineStr">
        <is>
          <t>No</t>
        </is>
      </c>
      <c r="G9" s="309" t="inlineStr">
        <is>
          <t>Cumple mayoritariamente</t>
        </is>
      </c>
      <c r="H9" s="310">
        <f>IF($G9="","",IF($G9="No aplica","",IF(OR($I9="",$J9=""),0,IFERROR(INDEX(PARAMETROS!$I$15:$I$18,MATCH($G9,PARAMETROS!$H$15:$H$18,0)),0))))</f>
        <v/>
      </c>
      <c r="I9" s="309" t="inlineStr">
        <is>
          <t>Manual, numeral 4.4</t>
        </is>
      </c>
      <c r="J9" s="309" t="inlineStr">
        <is>
          <t>Matriz de correspondencia grado–expediente aplicada; dos expedientes reforzados sin acuse de Firma Electrónica.</t>
        </is>
      </c>
      <c r="K9" s="309" t="n"/>
      <c r="L9" s="311">
        <f>IF($G9="","Falta calificar esta obligación del Manual (Art. 37 Bis).",IF($G9="No aplica",IF($K9="","Exclusión sin constancia en el Manual: el Art. 37 Bis 2 exige hacerla constar por escrito.",""),IF($G9="No cumple","No cumple: puede actualizar una sanción (Art. 48 fr. IV). Llévalo al plan de acción de A8.",IF(OR($I9="",$J9=""),"Sin numeral del Manual o sin evidencia de aplicación efectiva: la obligación computa 0% (Art. 10 Septies 1, fr. III).",""))))</f>
        <v/>
      </c>
    </row>
    <row r="10" ht="57.75" customHeight="1" s="225">
      <c r="B10" s="306" t="inlineStr">
        <is>
          <t>IV</t>
        </is>
      </c>
      <c r="C10" s="307" t="inlineStr">
        <is>
          <t>Identificación y seguimiento reforzado de Personas Políticamente Expuestas</t>
        </is>
      </c>
      <c r="D10" s="307" t="inlineStr">
        <is>
          <t>Arts. 23 Bis 3 y 23 Bis 4</t>
        </is>
      </c>
      <c r="E10" s="307" t="inlineStr">
        <is>
          <t>Procedimiento de detección de PEP nacionales y extranjeras y de sus allegados, factores de Riesgo adicionales, y aprobación de un directivo para PEP extranjera de riesgo alto.</t>
        </is>
      </c>
      <c r="F10" s="308" t="inlineStr">
        <is>
          <t>No</t>
        </is>
      </c>
      <c r="G10" s="309" t="inlineStr">
        <is>
          <t>Cumple parcialmente</t>
        </is>
      </c>
      <c r="H10" s="310">
        <f>IF($G10="","",IF($G10="No aplica","",IF(OR($I10="",$J10=""),0,IFERROR(INDEX(PARAMETROS!$I$15:$I$18,MATCH($G10,PARAMETROS!$H$15:$H$18,0)),0))))</f>
        <v/>
      </c>
      <c r="I10" s="309" t="inlineStr">
        <is>
          <t>Manual, numeral 4.6</t>
        </is>
      </c>
      <c r="J10" s="309" t="inlineStr">
        <is>
          <t>Se declara la búsqueda de PEP pero no se conserva la constancia por operación.</t>
        </is>
      </c>
      <c r="K10" s="309" t="n"/>
      <c r="L10" s="311">
        <f>IF($G10="","Falta calificar esta obligación del Manual (Art. 37 Bis).",IF($G10="No aplica",IF($K10="","Exclusión sin constancia en el Manual: el Art. 37 Bis 2 exige hacerla constar por escrito.",""),IF($G10="No cumple","No cumple: puede actualizar una sanción (Art. 48 fr. IV). Llévalo al plan de acción de A8.",IF(OR($I10="",$J10=""),"Sin numeral del Manual o sin evidencia de aplicación efectiva: la obligación computa 0% (Art. 10 Septies 1, fr. III).",""))))</f>
        <v/>
      </c>
    </row>
    <row r="11" ht="57.75" customHeight="1" s="225">
      <c r="B11" s="306" t="inlineStr">
        <is>
          <t>V</t>
        </is>
      </c>
      <c r="C11" s="307" t="inlineStr">
        <is>
          <t>Detección de actos u operaciones que se apartan del Perfil transaccional</t>
        </is>
      </c>
      <c r="D11" s="307" t="inlineStr">
        <is>
          <t>Art. 41 fr. II</t>
        </is>
      </c>
      <c r="E11" s="307" t="inlineStr">
        <is>
          <t>Perfil transaccional documentado por Cliente y alertas por desviación, con bitácora de la alerta, su análisis y su conclusión.</t>
        </is>
      </c>
      <c r="F11" s="308" t="inlineStr">
        <is>
          <t>Condicionado</t>
        </is>
      </c>
      <c r="G11" s="309" t="inlineStr">
        <is>
          <t>Cumple parcialmente</t>
        </is>
      </c>
      <c r="H11" s="310">
        <f>IF($G11="","",IF($G11="No aplica","",IF(OR($I11="",$J11=""),0,IFERROR(INDEX(PARAMETROS!$I$15:$I$18,MATCH($G11,PARAMETROS!$H$15:$H$18,0)),0))))</f>
        <v/>
      </c>
      <c r="I11" s="309" t="inlineStr">
        <is>
          <t>Manual, numeral 6.4</t>
        </is>
      </c>
      <c r="J11" s="309" t="inlineStr">
        <is>
          <t>Perfil transaccional documentado; las alertas se revisan sin bitácora de conclusión.</t>
        </is>
      </c>
      <c r="K11" s="309" t="n"/>
      <c r="L11" s="311">
        <f>IF($G11="","Falta calificar esta obligación del Manual (Art. 37 Bis).",IF($G11="No aplica",IF($K11="","Exclusión sin constancia en el Manual: el Art. 37 Bis 2 exige hacerla constar por escrito.",""),IF($G11="No cumple","No cumple: puede actualizar una sanción (Art. 48 fr. IV). Llévalo al plan de acción de A8.",IF(OR($I11="",$J11=""),"Sin numeral del Manual o sin evidencia de aplicación efectiva: la obligación computa 0% (Art. 10 Septies 1, fr. III).",""))))</f>
        <v/>
      </c>
    </row>
    <row r="12" ht="57.75" customHeight="1" s="225">
      <c r="B12" s="306" t="inlineStr">
        <is>
          <t>VI</t>
        </is>
      </c>
      <c r="C12" s="307" t="inlineStr">
        <is>
          <t>Procedimientos para la presentación de Avisos e Informes</t>
        </is>
      </c>
      <c r="D12" s="307" t="inlineStr">
        <is>
          <t>Cap. V de las Reglas; Art. 23 de la Ley</t>
        </is>
      </c>
      <c r="E12" s="307" t="inlineStr">
        <is>
          <t>Flujo interno con responsable y plazos: Aviso ordinario a más tardar el día 17 del mes inmediato siguiente, y protocolo de 24 horas.</t>
        </is>
      </c>
      <c r="F12" s="308" t="inlineStr">
        <is>
          <t>No</t>
        </is>
      </c>
      <c r="G12" s="309" t="inlineStr">
        <is>
          <t>Cumple</t>
        </is>
      </c>
      <c r="H12" s="310">
        <f>IF($G12="","",IF($G12="No aplica","",IF(OR($I12="",$J12=""),0,IFERROR(INDEX(PARAMETROS!$I$15:$I$18,MATCH($G12,PARAMETROS!$H$15:$H$18,0)),0))))</f>
        <v/>
      </c>
      <c r="I12" s="309" t="inlineStr">
        <is>
          <t>Manual, numeral 5.2</t>
        </is>
      </c>
      <c r="J12" s="309" t="inlineStr">
        <is>
          <t>Acuses del portal por los 14 Avisos del periodo, conciliados con el registro de operaciones.</t>
        </is>
      </c>
      <c r="K12" s="309" t="n"/>
      <c r="L12" s="311">
        <f>IF($G12="","Falta calificar esta obligación del Manual (Art. 37 Bis).",IF($G12="No aplica",IF($K12="","Exclusión sin constancia en el Manual: el Art. 37 Bis 2 exige hacerla constar por escrito.",""),IF($G12="No cumple","No cumple: puede actualizar una sanción (Art. 48 fr. IV). Llévalo al plan de acción de A8.",IF(OR($I12="",$J12=""),"Sin numeral del Manual o sin evidencia de aplicación efectiva: la obligación computa 0% (Art. 10 Septies 1, fr. III).",""))))</f>
        <v/>
      </c>
    </row>
    <row r="13" ht="57.75" customHeight="1" s="225">
      <c r="B13" s="306" t="inlineStr">
        <is>
          <t>VII</t>
        </is>
      </c>
      <c r="C13" s="307" t="inlineStr">
        <is>
          <t>Mecanismos de conservación de información y documentación</t>
        </is>
      </c>
      <c r="D13" s="307" t="inlineStr">
        <is>
          <t>Art. 10 Septies 3, 3er párr.; Art. 41 fr. I y IV</t>
        </is>
      </c>
      <c r="E13" s="307" t="inlineStr">
        <is>
          <t>Política de resguardo por diez años, lugar y medio de conservación, y medidas de seguridad contra pérdida, alteración u ocultamiento.</t>
        </is>
      </c>
      <c r="F13" s="308" t="inlineStr">
        <is>
          <t>No</t>
        </is>
      </c>
      <c r="G13" s="309" t="inlineStr">
        <is>
          <t>Cumple</t>
        </is>
      </c>
      <c r="H13" s="310">
        <f>IF($G13="","",IF($G13="No aplica","",IF(OR($I13="",$J13=""),0,IFERROR(INDEX(PARAMETROS!$I$15:$I$18,MATCH($G13,PARAMETROS!$H$15:$H$18,0)),0))))</f>
        <v/>
      </c>
      <c r="I13" s="309" t="inlineStr">
        <is>
          <t>Manual, numeral 8.1</t>
        </is>
      </c>
      <c r="J13" s="309" t="inlineStr">
        <is>
          <t>Política de resguardo firmada, respaldo cifrado y control de acceso al repositorio.</t>
        </is>
      </c>
      <c r="K13" s="309" t="n"/>
      <c r="L13" s="311">
        <f>IF($G13="","Falta calificar esta obligación del Manual (Art. 37 Bis).",IF($G13="No aplica",IF($K13="","Exclusión sin constancia en el Manual: el Art. 37 Bis 2 exige hacerla constar por escrito.",""),IF($G13="No cumple","No cumple: puede actualizar una sanción (Art. 48 fr. IV). Llévalo al plan de acción de A8.",IF(OR($I13="",$J13=""),"Sin numeral del Manual o sin evidencia de aplicación efectiva: la obligación computa 0% (Art. 10 Septies 1, fr. III).",""))))</f>
        <v/>
      </c>
    </row>
    <row r="14" ht="57.75" customHeight="1" s="225">
      <c r="B14" s="306" t="inlineStr">
        <is>
          <t>VIII</t>
        </is>
      </c>
      <c r="C14" s="307" t="inlineStr">
        <is>
          <t>Seguimiento y acumulación de actos u operaciones frente a los umbrales</t>
        </is>
      </c>
      <c r="D14" s="307" t="inlineStr">
        <is>
          <t>Art. 17, penúltimo párr. de la Ley; Art. 41 fr. II</t>
        </is>
      </c>
      <c r="E14" s="307" t="inlineStr">
        <is>
          <t>Mecanismo que agrupe las operaciones del mismo Cliente y dispare el Aviso cuando la suma acumulada alcance el umbral de tu fracción.</t>
        </is>
      </c>
      <c r="F14" s="308" t="inlineStr">
        <is>
          <t>Condicionado</t>
        </is>
      </c>
      <c r="G14" s="309" t="inlineStr">
        <is>
          <t>Cumple mayoritariamente</t>
        </is>
      </c>
      <c r="H14" s="310">
        <f>IF($G14="","",IF($G14="No aplica","",IF(OR($I14="",$J14=""),0,IFERROR(INDEX(PARAMETROS!$I$15:$I$18,MATCH($G14,PARAMETROS!$H$15:$H$18,0)),0))))</f>
        <v/>
      </c>
      <c r="I14" s="309" t="inlineStr">
        <is>
          <t>Manual, numeral 5.4</t>
        </is>
      </c>
      <c r="J14" s="309" t="inlineStr">
        <is>
          <t>Reporte de acumulación del sistema; falta prueba de recorrido de un caso completo.</t>
        </is>
      </c>
      <c r="K14" s="309" t="n"/>
      <c r="L14" s="311">
        <f>IF($G14="","Falta calificar esta obligación del Manual (Art. 37 Bis).",IF($G14="No aplica",IF($K14="","Exclusión sin constancia en el Manual: el Art. 37 Bis 2 exige hacerla constar por escrito.",""),IF($G14="No cumple","No cumple: puede actualizar una sanción (Art. 48 fr. IV). Llévalo al plan de acción de A8.",IF(OR($I14="",$J14=""),"Sin numeral del Manual o sin evidencia de aplicación efectiva: la obligación computa 0% (Art. 10 Septies 1, fr. III).",""))))</f>
        <v/>
      </c>
    </row>
    <row r="15" ht="57.75" customHeight="1" s="225">
      <c r="B15" s="306" t="inlineStr">
        <is>
          <t>IX</t>
        </is>
      </c>
      <c r="C15" s="307" t="inlineStr">
        <is>
          <t>Identificación de personas publicadas en listas de autoridades nacionales u organismos internacionales</t>
        </is>
      </c>
      <c r="D15" s="307" t="inlineStr">
        <is>
          <t>Arts. 38 y 41 fr. V</t>
        </is>
      </c>
      <c r="E15" s="307" t="inlineStr">
        <is>
          <t>Búsqueda documentada del Cliente, su Beneficiario Controlador y sus apoderados contra las listas aplicables, con constancia por operación y protocolo ante coincidencia.</t>
        </is>
      </c>
      <c r="F15" s="308" t="inlineStr">
        <is>
          <t>No</t>
        </is>
      </c>
      <c r="G15" s="309" t="inlineStr">
        <is>
          <t>Cumple</t>
        </is>
      </c>
      <c r="H15" s="310">
        <f>IF($G15="","",IF($G15="No aplica","",IF(OR($I15="",$J15=""),0,IFERROR(INDEX(PARAMETROS!$I$15:$I$18,MATCH($G15,PARAMETROS!$H$15:$H$18,0)),0))))</f>
        <v/>
      </c>
      <c r="I15" s="309" t="inlineStr">
        <is>
          <t>Manual, numeral 6.2</t>
        </is>
      </c>
      <c r="J15" s="309" t="inlineStr">
        <is>
          <t>Bitácora de validación contra listas con acuse por operación en el expediente electrónico.</t>
        </is>
      </c>
      <c r="K15" s="309" t="n"/>
      <c r="L15" s="311">
        <f>IF($G15="","Falta calificar esta obligación del Manual (Art. 37 Bis).",IF($G15="No aplica",IF($K15="","Exclusión sin constancia en el Manual: el Art. 37 Bis 2 exige hacerla constar por escrito.",""),IF($G15="No cumple","No cumple: puede actualizar una sanción (Art. 48 fr. IV). Llévalo al plan de acción de A8.",IF(OR($I15="",$J15=""),"Sin numeral del Manual o sin evidencia de aplicación efectiva: la obligación computa 0% (Art. 10 Septies 1, fr. III).",""))))</f>
        <v/>
      </c>
    </row>
    <row r="16" ht="57.75" customHeight="1" s="225">
      <c r="B16" s="306" t="inlineStr">
        <is>
          <t>X</t>
        </is>
      </c>
      <c r="C16" s="307" t="inlineStr">
        <is>
          <t>Funciones y responsabilidades de la persona Representante Encargada de Cumplimiento</t>
        </is>
      </c>
      <c r="D16" s="307" t="inlineStr">
        <is>
          <t>Art. 20 de la Ley</t>
        </is>
      </c>
      <c r="E16" s="307" t="inlineStr">
        <is>
          <t>Designación vigente y acreditada ante el SAT, con funciones, nivel de autoridad y suplencia definidos por escrito.</t>
        </is>
      </c>
      <c r="F16" s="308" t="inlineStr">
        <is>
          <t>Condicionado</t>
        </is>
      </c>
      <c r="G16" s="309" t="inlineStr">
        <is>
          <t>Cumple</t>
        </is>
      </c>
      <c r="H16" s="310">
        <f>IF($G16="","",IF($G16="No aplica","",IF(OR($I16="",$J16=""),0,IFERROR(INDEX(PARAMETROS!$I$15:$I$18,MATCH($G16,PARAMETROS!$H$15:$H$18,0)),0))))</f>
        <v/>
      </c>
      <c r="I16" s="309" t="inlineStr">
        <is>
          <t>Manual, numeral 3.1</t>
        </is>
      </c>
      <c r="J16" s="309" t="inlineStr">
        <is>
          <t>Constancia de alta de la Representante Encargada de Cumplimiento y descripción de funciones firmada.</t>
        </is>
      </c>
      <c r="K16" s="309" t="n"/>
      <c r="L16" s="311">
        <f>IF($G16="","Falta calificar esta obligación del Manual (Art. 37 Bis).",IF($G16="No aplica",IF($K16="","Exclusión sin constancia en el Manual: el Art. 37 Bis 2 exige hacerla constar por escrito.",""),IF($G16="No cumple","No cumple: puede actualizar una sanción (Art. 48 fr. IV). Llévalo al plan de acción de A8.",IF(OR($I16="",$J16=""),"Sin numeral del Manual o sin evidencia de aplicación efectiva: la obligación computa 0% (Art. 10 Septies 1, fr. III).",""))))</f>
        <v/>
      </c>
    </row>
    <row r="17" ht="57.75" customHeight="1" s="225">
      <c r="B17" s="306" t="inlineStr">
        <is>
          <t>XI</t>
        </is>
      </c>
      <c r="C17" s="307" t="inlineStr">
        <is>
          <t>Programas de capacitación</t>
        </is>
      </c>
      <c r="D17" s="307" t="inlineStr">
        <is>
          <t>Cap. XII, Art. 39 Bis</t>
        </is>
      </c>
      <c r="E17" s="307" t="inlineStr">
        <is>
          <t>Programa anual con contenido, destinatarios (órgano de administración, directivos, personal de atención, de envío de Avisos y de auditoría) y constancias de acreditación.</t>
        </is>
      </c>
      <c r="F17" s="308" t="inlineStr">
        <is>
          <t>No</t>
        </is>
      </c>
      <c r="G17" s="309" t="inlineStr">
        <is>
          <t>Cumple mayoritariamente</t>
        </is>
      </c>
      <c r="H17" s="310">
        <f>IF($G17="","",IF($G17="No aplica","",IF(OR($I17="",$J17=""),0,IFERROR(INDEX(PARAMETROS!$I$15:$I$18,MATCH($G17,PARAMETROS!$H$15:$H$18,0)),0))))</f>
        <v/>
      </c>
      <c r="I17" s="309" t="inlineStr">
        <is>
          <t>Manual, numeral 9.1</t>
        </is>
      </c>
      <c r="J17" s="309" t="inlineStr">
        <is>
          <t>Constancias de capacitación 2026 del 82% del personal objetivo.</t>
        </is>
      </c>
      <c r="K17" s="309" t="n"/>
      <c r="L17" s="311">
        <f>IF($G17="","Falta calificar esta obligación del Manual (Art. 37 Bis).",IF($G17="No aplica",IF($K17="","Exclusión sin constancia en el Manual: el Art. 37 Bis 2 exige hacerla constar por escrito.",""),IF($G17="No cumple","No cumple: puede actualizar una sanción (Art. 48 fr. IV). Llévalo al plan de acción de A8.",IF(OR($I17="",$J17=""),"Sin numeral del Manual o sin evidencia de aplicación efectiva: la obligación computa 0% (Art. 10 Septies 1, fr. III).",""))))</f>
        <v/>
      </c>
    </row>
    <row r="18" ht="57.75" customHeight="1" s="225">
      <c r="B18" s="306" t="inlineStr">
        <is>
          <t>XII</t>
        </is>
      </c>
      <c r="C18" s="307" t="inlineStr">
        <is>
          <t>Mecanismos de control interno, supervisión y auditoría</t>
        </is>
      </c>
      <c r="D18" s="307" t="inlineStr">
        <is>
          <t>Cap. XIV, Arts. 42 a 51</t>
        </is>
      </c>
      <c r="E18" s="307" t="inlineStr">
        <is>
          <t>Programa de revisión anual y designación de quien emite el dictamen: puede ser el área interna si tu riesgo es bajo o medio (Art. 44); auditor externo certificado por la UIF si es alto, o si así lo eliges (Art. 45). Ver A6.</t>
        </is>
      </c>
      <c r="F18" s="308" t="inlineStr">
        <is>
          <t>No</t>
        </is>
      </c>
      <c r="G18" s="309" t="inlineStr">
        <is>
          <t>Cumple parcialmente</t>
        </is>
      </c>
      <c r="H18" s="310">
        <f>IF($G18="","",IF($G18="No aplica","",IF(OR($I18="",$J18=""),0,IFERROR(INDEX(PARAMETROS!$I$15:$I$18,MATCH($G18,PARAMETROS!$H$15:$H$18,0)),0))))</f>
        <v/>
      </c>
      <c r="I18" s="309" t="inlineStr">
        <is>
          <t>Manual, numeral 10.1</t>
        </is>
      </c>
      <c r="J18" s="309" t="inlineStr">
        <is>
          <t>Programa de auditoría aprobado; primer dictamen aún no exigible (primer periodo: 2028).</t>
        </is>
      </c>
      <c r="K18" s="309" t="n"/>
      <c r="L18" s="311">
        <f>IF($G18="","Falta calificar esta obligación del Manual (Art. 37 Bis).",IF($G18="No aplica",IF($K18="","Exclusión sin constancia en el Manual: el Art. 37 Bis 2 exige hacerla constar por escrito.",""),IF($G18="No cumple","No cumple: puede actualizar una sanción (Art. 48 fr. IV). Llévalo al plan de acción de A8.",IF(OR($I18="",$J18=""),"Sin numeral del Manual o sin evidencia de aplicación efectiva: la obligación computa 0% (Art. 10 Septies 1, fr. III).",""))))</f>
        <v/>
      </c>
    </row>
    <row r="19" ht="57.75" customHeight="1" s="225">
      <c r="B19" s="306" t="inlineStr">
        <is>
          <t>XIII</t>
        </is>
      </c>
      <c r="C19" s="307" t="inlineStr">
        <is>
          <t>Medidas para garantizar la confidencialidad de la información</t>
        </is>
      </c>
      <c r="D19" s="307" t="inlineStr">
        <is>
          <t>Cap. VI, Art. 31; Art. 38 de la Ley</t>
        </is>
      </c>
      <c r="E19" s="307" t="inlineStr">
        <is>
          <t>Compromiso escrito de confidencialidad del personal y prohibición expresa de alertar al Cliente sobre la presentación de Avisos.</t>
        </is>
      </c>
      <c r="F19" s="308" t="inlineStr">
        <is>
          <t>No</t>
        </is>
      </c>
      <c r="G19" s="309" t="inlineStr">
        <is>
          <t>Cumple</t>
        </is>
      </c>
      <c r="H19" s="310">
        <f>IF($G19="","",IF($G19="No aplica","",IF(OR($I19="",$J19=""),0,IFERROR(INDEX(PARAMETROS!$I$15:$I$18,MATCH($G19,PARAMETROS!$H$15:$H$18,0)),0))))</f>
        <v/>
      </c>
      <c r="I19" s="309" t="inlineStr">
        <is>
          <t>Manual, numeral 3.5</t>
        </is>
      </c>
      <c r="J19" s="309" t="inlineStr">
        <is>
          <t>Cartas de confidencialidad firmadas por todo el personal con acceso a la información.</t>
        </is>
      </c>
      <c r="K19" s="309" t="n"/>
      <c r="L19" s="311">
        <f>IF($G19="","Falta calificar esta obligación del Manual (Art. 37 Bis).",IF($G19="No aplica",IF($K19="","Exclusión sin constancia en el Manual: el Art. 37 Bis 2 exige hacerla constar por escrito.",""),IF($G19="No cumple","No cumple: puede actualizar una sanción (Art. 48 fr. IV). Llévalo al plan de acción de A8.",IF(OR($I19="",$J19=""),"Sin numeral del Manual o sin evidencia de aplicación efectiva: la obligación computa 0% (Art. 10 Septies 1, fr. III).",""))))</f>
        <v/>
      </c>
    </row>
    <row r="20" ht="57.75" customHeight="1" s="225">
      <c r="B20" s="306" t="inlineStr">
        <is>
          <t>XIV</t>
        </is>
      </c>
      <c r="C20" s="307" t="inlineStr">
        <is>
          <t>Procedimientos para la actualización del propio Manual de Políticas Internas</t>
        </is>
      </c>
      <c r="D20" s="307" t="inlineStr">
        <is>
          <t>Art. 37 Bis 3</t>
        </is>
      </c>
      <c r="E20" s="307" t="inlineStr">
        <is>
          <t>Procedimiento y periodicidad de actualización, responsable, control de versiones y atención a los ajustes que señale el SAT.</t>
        </is>
      </c>
      <c r="F20" s="308" t="inlineStr">
        <is>
          <t>No</t>
        </is>
      </c>
      <c r="G20" s="309" t="inlineStr">
        <is>
          <t>Cumple mayoritariamente</t>
        </is>
      </c>
      <c r="H20" s="310">
        <f>IF($G20="","",IF($G20="No aplica","",IF(OR($I20="",$J20=""),0,IFERROR(INDEX(PARAMETROS!$I$15:$I$18,MATCH($G20,PARAMETROS!$H$15:$H$18,0)),0))))</f>
        <v/>
      </c>
      <c r="I20" s="309" t="inlineStr">
        <is>
          <t>Manual, numeral 12.1</t>
        </is>
      </c>
      <c r="J20" s="309" t="inlineStr">
        <is>
          <t>Control de versiones del Manual; falta fijar la periodicidad mínima de revisión.</t>
        </is>
      </c>
      <c r="K20" s="309" t="n"/>
      <c r="L20" s="311">
        <f>IF($G20="","Falta calificar esta obligación del Manual (Art. 37 Bis).",IF($G20="No aplica",IF($K20="","Exclusión sin constancia en el Manual: el Art. 37 Bis 2 exige hacerla constar por escrito.",""),IF($G20="No cumple","No cumple: puede actualizar una sanción (Art. 48 fr. IV). Llévalo al plan de acción de A8.",IF(OR($I20="",$J20=""),"Sin numeral del Manual o sin evidencia de aplicación efectiva: la obligación computa 0% (Art. 10 Septies 1, fr. III).",""))))</f>
        <v/>
      </c>
    </row>
    <row r="23" ht="15" customHeight="1" s="225">
      <c r="B23" s="248" t="inlineStr">
        <is>
          <t>RESULTADO DEL CATÁLOGO — ESTA ES LA MITIGACIÓN DE TODA LA MATRIZ</t>
        </is>
      </c>
    </row>
    <row r="24" ht="15" customHeight="1" s="225">
      <c r="B24" s="250" t="inlineStr">
        <is>
          <t>Obligaciones del catálogo (Art. 37 Bis):</t>
        </is>
      </c>
      <c r="F24" s="312">
        <f>COUNTA($B$7:$B$20)</f>
        <v/>
      </c>
    </row>
    <row r="25" ht="15" customHeight="1" s="225">
      <c r="B25" s="250" t="inlineStr">
        <is>
          <t>Excluidas por «No aplica» (Art. 37 Bis 2):</t>
        </is>
      </c>
      <c r="F25" s="312">
        <f>COUNTIF($G$7:$G$20,"No aplica")</f>
        <v/>
      </c>
    </row>
    <row r="26" ht="15" customHeight="1" s="225">
      <c r="B26" s="250" t="inlineStr">
        <is>
          <t>Obligaciones exigibles — denominador:</t>
        </is>
      </c>
      <c r="F26" s="312">
        <f>$F$24-$F$25</f>
        <v/>
      </c>
    </row>
    <row r="27" ht="15" customHeight="1" s="225">
      <c r="B27" s="250" t="inlineStr">
        <is>
          <t>Suma de los porcentajes obtenidos:</t>
        </is>
      </c>
      <c r="F27" s="313">
        <f>SUM($H$7:$H$20)</f>
        <v/>
      </c>
    </row>
    <row r="28" ht="15" customHeight="1" s="225">
      <c r="B28" s="248" t="inlineStr">
        <is>
          <t>EFECTIVIDAD DE LOS MITIGANTES:</t>
        </is>
      </c>
      <c r="F28" s="314">
        <f>IFERROR($F$27/$F$26,0)</f>
        <v/>
      </c>
    </row>
    <row r="29" ht="15" customHeight="1" s="225">
      <c r="B29" s="250" t="inlineStr">
        <is>
          <t>Tope máximo de reducción (PARÁMETROS C30):</t>
        </is>
      </c>
      <c r="F29" s="315">
        <f>PARAMETROS!$C$30</f>
        <v/>
      </c>
    </row>
    <row r="30" ht="15" customHeight="1" s="225">
      <c r="B30" s="248" t="inlineStr">
        <is>
          <t>REDUCCIÓN QUE SE APLICARÁ AL RIESGO INHERENTE:</t>
        </is>
      </c>
      <c r="F30" s="314">
        <f>$F$28*$F$29</f>
        <v/>
      </c>
    </row>
    <row r="32" ht="15" customHeight="1" s="225">
      <c r="B32" s="248" t="inlineStr">
        <is>
          <t>ALERTAS DEL CATÁLOGO</t>
        </is>
      </c>
    </row>
    <row r="33" ht="15" customHeight="1" s="225">
      <c r="B33" s="250" t="inlineStr">
        <is>
          <t>Obligaciones en «No cumple»:</t>
        </is>
      </c>
      <c r="F33" s="316">
        <f>COUNTIF($G$7:$G$20,"No cumple")</f>
        <v/>
      </c>
    </row>
    <row r="34" ht="15" customHeight="1" s="225">
      <c r="B34" s="250" t="inlineStr">
        <is>
          <t>Exclusiones sin constancia en el Manual:</t>
        </is>
      </c>
      <c r="F34" s="316">
        <f>SUMPRODUCT(--($G$7:$G$20="No aplica"),--($K$7:$K$20=""))</f>
        <v/>
      </c>
    </row>
    <row r="35" ht="15" customHeight="1" s="225">
      <c r="B35" s="250" t="inlineStr">
        <is>
          <t>Obligaciones sin numeral del Manual o sin evidencia:</t>
        </is>
      </c>
      <c r="F35" s="316">
        <f>SUMPRODUCT(--($G$7:$G$20&lt;&gt;""),--($G$7:$G$20&lt;&gt;"No aplica"),--((($I$7:$I$20="")+($J$7:$J$20=""))&gt;0))</f>
        <v/>
      </c>
    </row>
    <row r="36" ht="15" customHeight="1" s="225">
      <c r="B36" s="250" t="inlineStr">
        <is>
          <t>Obligaciones sin calificar:</t>
        </is>
      </c>
      <c r="F36" s="316">
        <f>COUNTBLANK($G$7:$G$20)</f>
        <v/>
      </c>
    </row>
    <row r="38" ht="168" customHeight="1" s="225">
      <c r="B38" s="254">
        <f>IF($F$33&gt;0,"Hay "&amp;$F$33&amp;" obligación(es) en «No cumple». El Art. 48 fr. IV las define como incumplimiento que puede actualizar una sanción: no basta con que bajen el promedio, deben ir al plan de acción de A8.",IF($F$36&gt;0,"Faltan "&amp;$F$36&amp;" obligación(es) por calificar. Mientras no las califiques computan 0% y tu residual sale más alto de lo real.","Catálogo completo: las 14 obligaciones están calificadas y ninguna está en «No cumple»."))</f>
        <v/>
      </c>
    </row>
    <row r="40" ht="324" customHeight="1" s="225">
      <c r="B40" s="295" t="inlineStr">
        <is>
          <t>Cómo se calcula: Efectividad = suma de los porcentajes ÷ obligaciones exigibles. El denominador es fijo (14) y solo baja cuando una obligación es «No aplica». Por eso registrar menos controles ya NO mejora el resultado: lo empeora.</t>
        </is>
      </c>
    </row>
    <row r="41" ht="548.25" customHeight="1" s="225">
      <c r="B41" s="295" t="inlineStr">
        <is>
          <t>El Art. 37 Bis 2 no enlista fracciones: exenta cualquier contenido del Manual referido a actos u operaciones que se determine no realizar, con constancia en el propio Manual. Que en esta matriz sólo se habilite «No aplica» en las fracciones V, VIII y X es criterio de la herramienta, y de forma condicionada: V para quien opera exclusivamente con Clientes ocasionales sin Relación de Negocios; VIII para las fracciones cuyo umbral no admite acumulación; X para la persona física que realiza la Actividad Vulnerable sin estructura, porque el Art. 20 de la Ley ata la designación a las personas morales. Las otras once no admiten exclusión.</t>
        </is>
      </c>
    </row>
    <row r="42" ht="324" customHeight="1" s="225">
      <c r="B42" s="295" t="inlineStr">
        <is>
          <t>El Art. 48 fr. V exige que el auditor verifique que la exclusión no actualice un incumplimiento y que sea consistente con el análisis de Riesgos. Por eso la justificación pide el numeral del Manual donde consta la exención, no un texto libre.</t>
        </is>
      </c>
    </row>
    <row r="43" ht="387" customHeight="1" s="225">
      <c r="B43" s="295" t="inlineStr">
        <is>
          <t>Una obligación cubierta en el papel pero sin evidencia de aplicación efectiva computa 0%: el Art. 10 Septies 1, fr. III habla de los mitigantes «así como su efectiva aplicación». Control diseñado, control implementado y control operando son tres estados distintos y se prueban distinto.</t>
        </is>
      </c>
    </row>
    <row r="44" ht="351" customHeight="1" s="225">
      <c r="B44" s="295" t="inlineStr">
        <is>
          <t>Pendiente declarado: la columna «Qué se espera» es todavía guía común a las 30 fracciones. El anexo sectorial —qué se espera en cada obligación según tu Actividad Vulnerable— es el siguiente entregable y no altera el denominador ni el cálculo.</t>
        </is>
      </c>
    </row>
  </sheetData>
  <conditionalFormatting sqref="G7:G20">
    <cfRule type="expression" rank="0" priority="2" equalAverage="0" aboveAverage="0" dxfId="0" text="" percent="0" bottom="0">
      <formula>$G7="No cumple"</formula>
    </cfRule>
    <cfRule type="expression" rank="0" priority="3" equalAverage="0" aboveAverage="0" dxfId="7" text="" percent="0" bottom="0">
      <formula>$G7=""</formula>
    </cfRule>
  </conditionalFormatting>
  <dataValidations count="2">
    <dataValidation sqref="G7:G10 G12:G13 G15 G17:G20" showDropDown="0" showInputMessage="0" showErrorMessage="0" allowBlank="1" type="list" errorStyle="stop" operator="between">
      <formula1>"Cumple,Cumple mayoritariamente,Cumple parcialmente,No cumple"</formula1>
      <formula2>0</formula2>
    </dataValidation>
    <dataValidation sqref="G11 G14 G16" showDropDown="0" showInputMessage="0" showErrorMessage="0" allowBlank="1" type="list" errorStyle="stop" operator="between">
      <formula1>"Cumple,Cumple mayoritariamente,Cumple parcialmente,No cumple,No aplica"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FFE699"/>
    <outlinePr summaryBelow="1" summaryRight="1"/>
    <pageSetUpPr fitToPage="0"/>
  </sheetPr>
  <dimension ref="B2:L32"/>
  <sheetViews>
    <sheetView showFormulas="0" showGridLines="0" showRowColHeaders="1" showZeros="1" rightToLeft="0" tabSelected="0" showOutlineSymbols="1" defaultGridColor="1"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baseColWidth="8" defaultColWidth="8.6796875" defaultRowHeight="15" zeroHeight="0" outlineLevelRow="0"/>
  <cols>
    <col width="2" customWidth="1" style="224" min="1" max="1"/>
    <col width="26" customWidth="1" style="224" min="2" max="2"/>
    <col width="34" customWidth="1" style="224" min="3" max="3"/>
    <col width="18" customWidth="1" style="224" min="4" max="4"/>
    <col width="13" customWidth="1" style="224" min="5" max="5"/>
    <col width="14" customWidth="1" style="224" min="6" max="6"/>
    <col width="13" customWidth="1" style="224" min="7" max="7"/>
    <col width="18" customWidth="1" style="224" min="8" max="8"/>
    <col width="12" customWidth="1" style="224" min="9" max="9"/>
    <col width="22" customWidth="1" style="224" min="10" max="10"/>
    <col width="40" customWidth="1" style="224" min="11" max="11"/>
    <col width="34" customWidth="1" style="224" min="12" max="12"/>
  </cols>
  <sheetData>
    <row r="2" ht="21.75" customHeight="1" s="225">
      <c r="B2" s="317" t="inlineStr">
        <is>
          <t>A4 BIS · CONTROLES ADICIONALES (por encima del mínimo) — INFORMATIVO</t>
        </is>
      </c>
    </row>
    <row r="3" ht="15" customHeight="1" s="225">
      <c r="B3" s="318" t="inlineStr">
        <is>
          <t>Registra aquí los controles que tienes por encima de las 14 obligaciones del catálogo. Esta hoja NO cambia el resultado: la mitigación se calcula en A4 CONTROLES MINIMOS. Sirve para documentar tu programa completo ante un requerimiento sin alterar el número.</t>
        </is>
      </c>
    </row>
    <row r="4" ht="15" customHeight="1" s="225">
      <c r="B4" s="230" t="inlineStr">
        <is>
          <t>Complemento del paso 6  ·  No entra en el cálculo  ·  Sigue: A5 RESIDUAL</t>
        </is>
      </c>
    </row>
    <row r="6" ht="31.5" customHeight="1" s="225">
      <c r="B6" s="231" t="inlineStr">
        <is>
          <t>#</t>
        </is>
      </c>
      <c r="C6" s="231" t="inlineStr">
        <is>
          <t>Descripción del control</t>
        </is>
      </c>
      <c r="D6" s="231" t="inlineStr">
        <is>
          <t>Elemento que mitiga (informativo)</t>
        </is>
      </c>
      <c r="E6" s="231" t="inlineStr">
        <is>
          <t>Naturaleza</t>
        </is>
      </c>
      <c r="F6" s="231" t="inlineStr">
        <is>
          <t>Automatización</t>
        </is>
      </c>
      <c r="G6" s="231" t="inlineStr">
        <is>
          <t>Frecuencia</t>
        </is>
      </c>
      <c r="H6" s="231" t="inlineStr">
        <is>
          <t>Efectividad</t>
        </is>
      </c>
      <c r="I6" s="231" t="inlineStr">
        <is>
          <t>Efectividad %</t>
        </is>
      </c>
      <c r="J6" s="231" t="inlineStr">
        <is>
          <t>Numeral del Manual que lo prevé</t>
        </is>
      </c>
      <c r="K6" s="231" t="inlineStr">
        <is>
          <t>Evidencia de aplicación efectiva y dónde se resguarda</t>
        </is>
      </c>
      <c r="L6" s="231" t="inlineStr">
        <is>
          <t>Aviso</t>
        </is>
      </c>
    </row>
    <row r="7" ht="42" customHeight="1" s="225">
      <c r="B7" s="319" t="n">
        <v>1</v>
      </c>
      <c r="C7" s="288" t="inlineStr">
        <is>
          <t>El sistema valida a cada Cliente, a su Beneficiario Controlador y a los apoderados contra la lista de personas bloqueadas del Art. 38 y las listas internacionales, en cada operación y no sólo al alta.</t>
        </is>
      </c>
      <c r="D7" s="289" t="inlineStr">
        <is>
          <t>2</t>
        </is>
      </c>
      <c r="E7" s="289" t="inlineStr">
        <is>
          <t>Preventivo</t>
        </is>
      </c>
      <c r="F7" s="289" t="inlineStr">
        <is>
          <t>Automático</t>
        </is>
      </c>
      <c r="G7" s="289" t="inlineStr">
        <is>
          <t>Permanente</t>
        </is>
      </c>
      <c r="H7" s="289" t="inlineStr">
        <is>
          <t>Cumple</t>
        </is>
      </c>
      <c r="I7" s="320">
        <f>IF($H7="","",IF(OR($J7="",$K7=""),0,IFERROR(INDEX(PARAMETROS!$I$15:$I$18,MATCH($H7,PARAMETROS!$H$15:$H$18,0)),0)))</f>
        <v/>
      </c>
      <c r="J7" s="321" t="inlineStr">
        <is>
          <t>Manual, numeral 6.2</t>
        </is>
      </c>
      <c r="K7" s="278" t="inlineStr">
        <is>
          <t>Bitácora de validación con acuse por operación; 112 corridas conciliadas contra el número de operaciones del periodo.</t>
        </is>
      </c>
      <c r="L7" s="264">
        <f>IF($H7="","",IF(OR($J7="",$K7=""),"Sin numeral del Manual o sin evidencia: el mitigante no acredita aplicación efectiva (Art. 10 Septies 1, fr. III).",""))</f>
        <v/>
      </c>
    </row>
    <row r="8" ht="42" customHeight="1" s="225">
      <c r="B8" s="319" t="n">
        <v>2</v>
      </c>
      <c r="C8" s="288" t="inlineStr">
        <is>
          <t>Política de aceptación de efectivo con umbral interno de 150,000 pesos por operación, por debajo del umbral de aviso, con validación del origen y autorización escrita de la Encargada de Cumplimiento por encima de ese monto.</t>
        </is>
      </c>
      <c r="D8" s="289" t="inlineStr">
        <is>
          <t>4</t>
        </is>
      </c>
      <c r="E8" s="289" t="inlineStr">
        <is>
          <t>Preventivo</t>
        </is>
      </c>
      <c r="F8" s="289" t="inlineStr">
        <is>
          <t>Semiautomático</t>
        </is>
      </c>
      <c r="G8" s="289" t="inlineStr">
        <is>
          <t>Permanente</t>
        </is>
      </c>
      <c r="H8" s="289" t="inlineStr">
        <is>
          <t>Cumple mayoritariamente</t>
        </is>
      </c>
      <c r="I8" s="320">
        <f>IF($H8="","",IF(OR($J8="",$K8=""),0,IFERROR(INDEX(PARAMETROS!$I$15:$I$18,MATCH($H8,PARAMETROS!$H$15:$H$18,0)),0)))</f>
        <v/>
      </c>
      <c r="J8" s="321" t="inlineStr">
        <is>
          <t>Manual, numeral 7.1</t>
        </is>
      </c>
      <c r="K8" s="278" t="inlineStr">
        <is>
          <t>Reporte mensual de excepciones firmado; faltan las autorizaciones de dos operaciones de mayo de 2026.</t>
        </is>
      </c>
      <c r="L8" s="264">
        <f>IF($H8="","",IF(OR($J8="",$K8=""),"Sin numeral del Manual o sin evidencia: el mitigante no acredita aplicación efectiva (Art. 10 Septies 1, fr. III).",""))</f>
        <v/>
      </c>
    </row>
    <row r="9" ht="21.75" customHeight="1" s="225">
      <c r="B9" s="319" t="n">
        <v>3</v>
      </c>
      <c r="C9" s="288" t="inlineStr">
        <is>
          <t>Verificación de la constitución y del objeto social de toda persona moral compradora en el registro electrónico de la Secretaría de Economía, antes de la firma.</t>
        </is>
      </c>
      <c r="D9" s="289" t="inlineStr">
        <is>
          <t>2</t>
        </is>
      </c>
      <c r="E9" s="289" t="inlineStr">
        <is>
          <t>Preventivo</t>
        </is>
      </c>
      <c r="F9" s="289" t="inlineStr">
        <is>
          <t>Manual</t>
        </is>
      </c>
      <c r="G9" s="289" t="inlineStr">
        <is>
          <t>Permanente</t>
        </is>
      </c>
      <c r="H9" s="289" t="inlineStr">
        <is>
          <t>Cumple</t>
        </is>
      </c>
      <c r="I9" s="320">
        <f>IF($H9="","",IF(OR($J9="",$K9=""),0,IFERROR(INDEX(PARAMETROS!$I$15:$I$18,MATCH($H9,PARAMETROS!$H$15:$H$18,0)),0)))</f>
        <v/>
      </c>
      <c r="J9" s="321" t="inlineStr">
        <is>
          <t>Manual, numeral 4.2</t>
        </is>
      </c>
      <c r="K9" s="278" t="inlineStr">
        <is>
          <t>Impresión del folio electrónico mercantil integrada a los 31 expedientes de persona moral del periodo.</t>
        </is>
      </c>
      <c r="L9" s="264">
        <f>IF($H9="","",IF(OR($J9="",$K9=""),"Sin numeral del Manual o sin evidencia: el mitigante no acredita aplicación efectiva (Art. 10 Septies 1, fr. III).",""))</f>
        <v/>
      </c>
    </row>
    <row r="10" ht="21.75" customHeight="1" s="225">
      <c r="B10" s="319" t="n">
        <v>4</v>
      </c>
      <c r="C10" s="288" t="inlineStr">
        <is>
          <t>Regla de cuatro ojos: ninguna operación que supere el umbral de aviso se firma sin visto bueno documentado de la Encargada de Cumplimiento, además del ejecutivo de venta.</t>
        </is>
      </c>
      <c r="D10" s="289" t="inlineStr">
        <is>
          <t>1</t>
        </is>
      </c>
      <c r="E10" s="289" t="inlineStr">
        <is>
          <t>Preventivo</t>
        </is>
      </c>
      <c r="F10" s="289" t="inlineStr">
        <is>
          <t>Manual</t>
        </is>
      </c>
      <c r="G10" s="289" t="inlineStr">
        <is>
          <t>Permanente</t>
        </is>
      </c>
      <c r="H10" s="289" t="inlineStr">
        <is>
          <t>Cumple</t>
        </is>
      </c>
      <c r="I10" s="320">
        <f>IF($H10="","",IF(OR($J10="",$K10=""),0,IFERROR(INDEX(PARAMETROS!$I$15:$I$18,MATCH($H10,PARAMETROS!$H$15:$H$18,0)),0)))</f>
        <v/>
      </c>
      <c r="J10" s="321" t="inlineStr">
        <is>
          <t>Manual, numeral 5.1</t>
        </is>
      </c>
      <c r="K10" s="278" t="inlineStr">
        <is>
          <t>Cédula de doble firma en las 47 operaciones del periodo que superaron el umbral.</t>
        </is>
      </c>
      <c r="L10" s="264">
        <f>IF($H10="","",IF(OR($J10="",$K10=""),"Sin numeral del Manual o sin evidencia: el mitigante no acredita aplicación efectiva (Art. 10 Septies 1, fr. III).",""))</f>
        <v/>
      </c>
    </row>
    <row r="11" ht="21.75" customHeight="1" s="225">
      <c r="B11" s="319" t="n">
        <v>5</v>
      </c>
      <c r="C11" s="288" t="inlineStr">
        <is>
          <t>Alerta automática cuando el pago proviene de un tercero distinto del comprador o de una cuenta no declarada en el expediente.</t>
        </is>
      </c>
      <c r="D11" s="289" t="inlineStr">
        <is>
          <t>4</t>
        </is>
      </c>
      <c r="E11" s="289" t="inlineStr">
        <is>
          <t>Detectivo</t>
        </is>
      </c>
      <c r="F11" s="289" t="inlineStr">
        <is>
          <t>Automático</t>
        </is>
      </c>
      <c r="G11" s="289" t="inlineStr">
        <is>
          <t>Permanente</t>
        </is>
      </c>
      <c r="H11" s="289" t="inlineStr">
        <is>
          <t>Cumple mayoritariamente</t>
        </is>
      </c>
      <c r="I11" s="320">
        <f>IF($H11="","",IF(OR($J11="",$K11=""),0,IFERROR(INDEX(PARAMETROS!$I$15:$I$18,MATCH($H11,PARAMETROS!$H$15:$H$18,0)),0)))</f>
        <v/>
      </c>
      <c r="J11" s="321" t="inlineStr">
        <is>
          <t>Manual, numeral 6.4</t>
        </is>
      </c>
      <c r="K11" s="278" t="inlineStr">
        <is>
          <t>Se dispararon 7 alertas en el periodo; 5 tienen dictamen documentado y 2 siguen en análisis.</t>
        </is>
      </c>
      <c r="L11" s="264">
        <f>IF($H11="","",IF(OR($J11="",$K11=""),"Sin numeral del Manual o sin evidencia: el mitigante no acredita aplicación efectiva (Art. 10 Septies 1, fr. III).",""))</f>
        <v/>
      </c>
    </row>
    <row r="12" ht="21.75" customHeight="1" s="225">
      <c r="B12" s="319" t="n">
        <v>6</v>
      </c>
      <c r="C12" s="288" t="inlineStr">
        <is>
          <t>Capacitación específica de fuerza de ventas sobre señales de alerta en preventa, adicional al programa anual obligatorio.</t>
        </is>
      </c>
      <c r="D12" s="289" t="inlineStr">
        <is>
          <t>2</t>
        </is>
      </c>
      <c r="E12" s="289" t="inlineStr">
        <is>
          <t>Preventivo</t>
        </is>
      </c>
      <c r="F12" s="289" t="inlineStr">
        <is>
          <t>Manual</t>
        </is>
      </c>
      <c r="G12" s="289" t="inlineStr">
        <is>
          <t>Periódico</t>
        </is>
      </c>
      <c r="H12" s="289" t="inlineStr">
        <is>
          <t>Cumple mayoritariamente</t>
        </is>
      </c>
      <c r="I12" s="320">
        <f>IF($H12="","",IF(OR($J12="",$K12=""),0,IFERROR(INDEX(PARAMETROS!$I$15:$I$18,MATCH($H12,PARAMETROS!$H$15:$H$18,0)),0)))</f>
        <v/>
      </c>
      <c r="J12" s="321" t="inlineStr">
        <is>
          <t>Manual, numeral 9.2</t>
        </is>
      </c>
      <c r="K12" s="278" t="inlineStr">
        <is>
          <t>Lista de asistencia de la sesión de marzo de 2026; cubrió a 9 de los 11 ejecutivos.</t>
        </is>
      </c>
      <c r="L12" s="264">
        <f>IF($H12="","",IF(OR($J12="",$K12=""),"Sin numeral del Manual o sin evidencia: el mitigante no acredita aplicación efectiva (Art. 10 Septies 1, fr. III).",""))</f>
        <v/>
      </c>
    </row>
    <row r="13" ht="21.75" customHeight="1" s="225">
      <c r="B13" s="319" t="n">
        <v>7</v>
      </c>
      <c r="C13" s="322" t="n"/>
      <c r="D13" s="289" t="n"/>
      <c r="E13" s="289" t="n"/>
      <c r="F13" s="289" t="n"/>
      <c r="G13" s="289" t="n"/>
      <c r="H13" s="289" t="n"/>
      <c r="I13" s="320">
        <f>IF($H13="","",IF(OR($J13="",$K13=""),0,IFERROR(INDEX(PARAMETROS!$I$15:$I$18,MATCH($H13,PARAMETROS!$H$15:$H$18,0)),0)))</f>
        <v/>
      </c>
      <c r="J13" s="321" t="n"/>
      <c r="K13" s="321" t="n"/>
      <c r="L13" s="264">
        <f>IF($H13="","",IF(OR($J13="",$K13=""),"Sin numeral del Manual o sin evidencia: el mitigante no acredita aplicación efectiva (Art. 10 Septies 1, fr. III).",""))</f>
        <v/>
      </c>
    </row>
    <row r="14" ht="21.75" customHeight="1" s="225">
      <c r="B14" s="319" t="n">
        <v>8</v>
      </c>
      <c r="C14" s="322" t="n"/>
      <c r="D14" s="289" t="n"/>
      <c r="E14" s="289" t="n"/>
      <c r="F14" s="289" t="n"/>
      <c r="G14" s="289" t="n"/>
      <c r="H14" s="289" t="n"/>
      <c r="I14" s="320">
        <f>IF($H14="","",IF(OR($J14="",$K14=""),0,IFERROR(INDEX(PARAMETROS!$I$15:$I$18,MATCH($H14,PARAMETROS!$H$15:$H$18,0)),0)))</f>
        <v/>
      </c>
      <c r="J14" s="321" t="n"/>
      <c r="K14" s="321" t="n"/>
      <c r="L14" s="264">
        <f>IF($H14="","",IF(OR($J14="",$K14=""),"Sin numeral del Manual o sin evidencia: el mitigante no acredita aplicación efectiva (Art. 10 Septies 1, fr. III).",""))</f>
        <v/>
      </c>
    </row>
    <row r="15" ht="21.75" customHeight="1" s="225">
      <c r="B15" s="319" t="n">
        <v>9</v>
      </c>
      <c r="C15" s="322" t="n"/>
      <c r="D15" s="289" t="n"/>
      <c r="E15" s="289" t="n"/>
      <c r="F15" s="289" t="n"/>
      <c r="G15" s="289" t="n"/>
      <c r="H15" s="289" t="n"/>
      <c r="I15" s="320">
        <f>IF($H15="","",IF(OR($J15="",$K15=""),0,IFERROR(INDEX(PARAMETROS!$I$15:$I$18,MATCH($H15,PARAMETROS!$H$15:$H$18,0)),0)))</f>
        <v/>
      </c>
      <c r="J15" s="321" t="n"/>
      <c r="K15" s="321" t="n"/>
      <c r="L15" s="264">
        <f>IF($H15="","",IF(OR($J15="",$K15=""),"Sin numeral del Manual o sin evidencia: el mitigante no acredita aplicación efectiva (Art. 10 Septies 1, fr. III).",""))</f>
        <v/>
      </c>
    </row>
    <row r="16" ht="21.75" customHeight="1" s="225">
      <c r="B16" s="319" t="n">
        <v>10</v>
      </c>
      <c r="C16" s="322" t="n"/>
      <c r="D16" s="289" t="n"/>
      <c r="E16" s="289" t="n"/>
      <c r="F16" s="289" t="n"/>
      <c r="G16" s="289" t="n"/>
      <c r="H16" s="289" t="n"/>
      <c r="I16" s="320">
        <f>IF($H16="","",IF(OR($J16="",$K16=""),0,IFERROR(INDEX(PARAMETROS!$I$15:$I$18,MATCH($H16,PARAMETROS!$H$15:$H$18,0)),0)))</f>
        <v/>
      </c>
      <c r="J16" s="321" t="n"/>
      <c r="K16" s="321" t="n"/>
      <c r="L16" s="264">
        <f>IF($H16="","",IF(OR($J16="",$K16=""),"Sin numeral del Manual o sin evidencia: el mitigante no acredita aplicación efectiva (Art. 10 Septies 1, fr. III).",""))</f>
        <v/>
      </c>
    </row>
    <row r="17" ht="21.75" customHeight="1" s="225">
      <c r="B17" s="319" t="n">
        <v>11</v>
      </c>
      <c r="C17" s="322" t="n"/>
      <c r="D17" s="289" t="n"/>
      <c r="E17" s="289" t="n"/>
      <c r="F17" s="289" t="n"/>
      <c r="G17" s="289" t="n"/>
      <c r="H17" s="289" t="n"/>
      <c r="I17" s="320">
        <f>IF($H17="","",IF(OR($J17="",$K17=""),0,IFERROR(INDEX(PARAMETROS!$I$15:$I$18,MATCH($H17,PARAMETROS!$H$15:$H$18,0)),0)))</f>
        <v/>
      </c>
      <c r="J17" s="321" t="n"/>
      <c r="K17" s="321" t="n"/>
      <c r="L17" s="264">
        <f>IF($H17="","",IF(OR($J17="",$K17=""),"Sin numeral del Manual o sin evidencia: el mitigante no acredita aplicación efectiva (Art. 10 Septies 1, fr. III).",""))</f>
        <v/>
      </c>
    </row>
    <row r="18" ht="21.75" customHeight="1" s="225">
      <c r="B18" s="319" t="n">
        <v>12</v>
      </c>
      <c r="C18" s="322" t="n"/>
      <c r="D18" s="289" t="n"/>
      <c r="E18" s="289" t="n"/>
      <c r="F18" s="289" t="n"/>
      <c r="G18" s="289" t="n"/>
      <c r="H18" s="289" t="n"/>
      <c r="I18" s="320">
        <f>IF($H18="","",IF(OR($J18="",$K18=""),0,IFERROR(INDEX(PARAMETROS!$I$15:$I$18,MATCH($H18,PARAMETROS!$H$15:$H$18,0)),0)))</f>
        <v/>
      </c>
      <c r="J18" s="321" t="n"/>
      <c r="K18" s="321" t="n"/>
      <c r="L18" s="264">
        <f>IF($H18="","",IF(OR($J18="",$K18=""),"Sin numeral del Manual o sin evidencia: el mitigante no acredita aplicación efectiva (Art. 10 Septies 1, fr. III).",""))</f>
        <v/>
      </c>
    </row>
    <row r="19" ht="21.75" customHeight="1" s="225">
      <c r="B19" s="319" t="n">
        <v>13</v>
      </c>
      <c r="C19" s="322" t="n"/>
      <c r="D19" s="289" t="n"/>
      <c r="E19" s="289" t="n"/>
      <c r="F19" s="289" t="n"/>
      <c r="G19" s="289" t="n"/>
      <c r="H19" s="289" t="n"/>
      <c r="I19" s="320">
        <f>IF($H19="","",IF(OR($J19="",$K19=""),0,IFERROR(INDEX(PARAMETROS!$I$15:$I$18,MATCH($H19,PARAMETROS!$H$15:$H$18,0)),0)))</f>
        <v/>
      </c>
      <c r="J19" s="321" t="n"/>
      <c r="K19" s="321" t="n"/>
      <c r="L19" s="264">
        <f>IF($H19="","",IF(OR($J19="",$K19=""),"Sin numeral del Manual o sin evidencia: el mitigante no acredita aplicación efectiva (Art. 10 Septies 1, fr. III).",""))</f>
        <v/>
      </c>
    </row>
    <row r="20" ht="21.75" customHeight="1" s="225">
      <c r="B20" s="319" t="n">
        <v>14</v>
      </c>
      <c r="C20" s="322" t="n"/>
      <c r="D20" s="289" t="n"/>
      <c r="E20" s="289" t="n"/>
      <c r="F20" s="289" t="n"/>
      <c r="G20" s="289" t="n"/>
      <c r="H20" s="289" t="n"/>
      <c r="I20" s="320">
        <f>IF($H20="","",IF(OR($J20="",$K20=""),0,IFERROR(INDEX(PARAMETROS!$I$15:$I$18,MATCH($H20,PARAMETROS!$H$15:$H$18,0)),0)))</f>
        <v/>
      </c>
      <c r="J20" s="321" t="n"/>
      <c r="K20" s="321" t="n"/>
      <c r="L20" s="264">
        <f>IF($H20="","",IF(OR($J20="",$K20=""),"Sin numeral del Manual o sin evidencia: el mitigante no acredita aplicación efectiva (Art. 10 Septies 1, fr. III).",""))</f>
        <v/>
      </c>
    </row>
    <row r="21" ht="21.75" customHeight="1" s="225">
      <c r="B21" s="319" t="n">
        <v>15</v>
      </c>
      <c r="C21" s="322" t="n"/>
      <c r="D21" s="289" t="n"/>
      <c r="E21" s="289" t="n"/>
      <c r="F21" s="289" t="n"/>
      <c r="G21" s="289" t="n"/>
      <c r="H21" s="289" t="n"/>
      <c r="I21" s="320">
        <f>IF($H21="","",IF(OR($J21="",$K21=""),0,IFERROR(INDEX(PARAMETROS!$I$15:$I$18,MATCH($H21,PARAMETROS!$H$15:$H$18,0)),0)))</f>
        <v/>
      </c>
      <c r="J21" s="321" t="n"/>
      <c r="K21" s="321" t="n"/>
      <c r="L21" s="264">
        <f>IF($H21="","",IF(OR($J21="",$K21=""),"Sin numeral del Manual o sin evidencia: el mitigante no acredita aplicación efectiva (Art. 10 Septies 1, fr. III).",""))</f>
        <v/>
      </c>
    </row>
    <row r="23" ht="21" customHeight="1" s="225">
      <c r="B23" s="323" t="inlineStr">
        <is>
          <t>ESTOS CONTROLES NO ENTRAN EN EL CÁLCULO</t>
        </is>
      </c>
    </row>
    <row r="24" ht="15" customHeight="1" s="225">
      <c r="B24" s="295" t="inlineStr">
        <is>
          <t>La mitigación se mide contra el catálogo de contenidos mínimos del Manual (Art. 37 Bis), en la hoja A4 CONTROLES MINIMOS. Un control adicional excelente no sube el resultado, y uno adicional deficiente tampoco lo baja: lo que califica es la cobertura de las obligaciones. Documentarlos aquí sí fortalece el expediente.</t>
        </is>
      </c>
      <c r="D24" s="320" t="n"/>
    </row>
    <row r="25" ht="15" customHeight="1" s="225">
      <c r="B25" s="324" t="n"/>
      <c r="D25" s="320" t="n"/>
    </row>
    <row r="26" ht="15" customHeight="1" s="225">
      <c r="B26" s="325" t="n"/>
      <c r="D26" s="326" t="n"/>
    </row>
    <row r="27" ht="15" customHeight="1" s="225">
      <c r="B27" s="256" t="n"/>
      <c r="D27" s="327" t="n"/>
    </row>
    <row r="28" ht="15" customHeight="1" s="225">
      <c r="B28" s="256" t="n"/>
      <c r="D28" s="327" t="n"/>
    </row>
    <row r="30" ht="15" customHeight="1" s="225">
      <c r="B30" s="287" t="inlineStr">
        <is>
          <t>Controles adicionales registrados:</t>
        </is>
      </c>
      <c r="D30" s="286">
        <f>COUNTA($C$7:$C$21)</f>
        <v/>
      </c>
    </row>
    <row r="31" ht="15" customHeight="1" s="225">
      <c r="B31" s="287" t="inlineStr">
        <is>
          <t>Adicionales sin numeral del Manual o sin evidencia:</t>
        </is>
      </c>
      <c r="D31" s="286">
        <f>SUMPRODUCT(--($H$7:$H$21&lt;&gt;""),--((($J$7:$J$21="")+($K$7:$K$21=""))&gt;0))</f>
        <v/>
      </c>
    </row>
    <row r="32" ht="15" customHeight="1" s="225">
      <c r="B32" s="295" t="inlineStr">
        <is>
          <t>Aunque no cuenten para el número, un control que declaras sin numeral ni evidencia es un flanco: el auditor puede preguntar por él. Regístralo completo o no lo registres.</t>
        </is>
      </c>
    </row>
  </sheetData>
  <mergeCells count="4">
    <mergeCell ref="B25:C25"/>
    <mergeCell ref="B24:C24"/>
    <mergeCell ref="B23:G23"/>
    <mergeCell ref="B26:C26"/>
  </mergeCells>
  <conditionalFormatting sqref="J7:K21">
    <cfRule type="expression" rank="0" priority="2" equalAverage="0" aboveAverage="0" dxfId="0" text="" percent="0" bottom="0">
      <formula>AND($H7&lt;&gt;"",J7="")</formula>
    </cfRule>
  </conditionalFormatting>
  <dataValidations count="5">
    <dataValidation sqref="D7:D21" showDropDown="0" showInputMessage="0" showErrorMessage="0" allowBlank="1" type="list" errorStyle="stop" operator="between">
      <formula1>"Todos,1,2,3,4"</formula1>
      <formula2>0</formula2>
    </dataValidation>
    <dataValidation sqref="E7:E21" showDropDown="0" showInputMessage="0" showErrorMessage="0" allowBlank="1" type="list" errorStyle="stop" operator="between">
      <formula1>"Preventivo,Correctivo,Detectivo"</formula1>
      <formula2>0</formula2>
    </dataValidation>
    <dataValidation sqref="F7:F21" showDropDown="0" showInputMessage="0" showErrorMessage="0" allowBlank="1" type="list" errorStyle="stop" operator="between">
      <formula1>"Automático,Semiautomático,Manual"</formula1>
      <formula2>0</formula2>
    </dataValidation>
    <dataValidation sqref="G7:G21" showDropDown="0" showInputMessage="0" showErrorMessage="0" allowBlank="1" type="list" errorStyle="stop" operator="between">
      <formula1>"Permanente,Periódico,Ocasional"</formula1>
      <formula2>0</formula2>
    </dataValidation>
    <dataValidation sqref="H7:H21" showDropDown="0" showInputMessage="0" showErrorMessage="0" allowBlank="1" type="list" errorStyle="stop" operator="between">
      <formula1>"Cumple,Cumple mayoritariamente,Cumple parcialmente,No cumple"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548235"/>
    <outlinePr summaryBelow="1" summaryRight="1"/>
    <pageSetUpPr fitToPage="0"/>
  </sheetPr>
  <dimension ref="B2:I51"/>
  <sheetViews>
    <sheetView showFormulas="0" showGridLines="0" showRowColHeaders="1" showZeros="1" rightToLeft="0" tabSelected="0" showOutlineSymbols="1" defaultGridColor="1" view="normal" topLeftCell="A1" colorId="64" zoomScale="100" zoomScaleNormal="100" zoomScalePageLayoutView="100" workbookViewId="0">
      <pane xSplit="1" ySplit="23" topLeftCell="B24" activePane="bottomRight" state="frozen"/>
      <selection pane="topLeft" activeCell="A1" activeCellId="0" sqref="A1"/>
      <selection pane="topRight" activeCell="B1" activeCellId="0" sqref="B1"/>
      <selection pane="bottomLeft" activeCell="A24" activeCellId="0" sqref="A24"/>
      <selection pane="bottomRight" activeCell="A1" activeCellId="0" sqref="A1"/>
    </sheetView>
  </sheetViews>
  <sheetFormatPr baseColWidth="8" defaultColWidth="8.6796875" defaultRowHeight="15" zeroHeight="0" outlineLevelRow="0"/>
  <cols>
    <col width="2" customWidth="1" style="224" min="1" max="1"/>
    <col width="6" customWidth="1" style="224" min="2" max="2"/>
    <col width="48" customWidth="1" style="224" min="3" max="3"/>
    <col width="13" customWidth="1" style="224" min="4" max="6"/>
    <col width="14" customWidth="1" style="224" min="7" max="7"/>
    <col width="34" customWidth="1" style="224" min="8" max="8"/>
    <col width="11" customWidth="1" style="224" min="9" max="9"/>
  </cols>
  <sheetData>
    <row r="2" ht="21.75" customHeight="1" s="225">
      <c r="B2" s="255" t="inlineStr">
        <is>
          <t>A5 · RIESGO RESIDUAL = Riesgo inherente × (1 − Reducción aplicada)</t>
        </is>
      </c>
    </row>
    <row r="3" ht="15" customHeight="1" s="225">
      <c r="B3" s="256" t="inlineStr">
        <is>
          <t>La mitigación se mide una sola vez, a nivel de la entidad, y se aplica igual a los tres niveles: indicador, elemento y entidad. Si el residual supera tu tolerancia, exige plan de acción (hoja A8).</t>
        </is>
      </c>
    </row>
    <row r="4" ht="15" customHeight="1" s="225">
      <c r="B4" s="230" t="inlineStr">
        <is>
          <t>Paso 7 de 10  ·  Se calcula solo  ·  Sigue: A6 TABLERO</t>
        </is>
      </c>
    </row>
    <row r="5" ht="21" customHeight="1" s="225">
      <c r="B5" s="272" t="inlineStr">
        <is>
          <t>MITIGACIÓN APLICADA — SE CALCULA UNA SOLA VEZ, A NIVEL ENTIDAD</t>
        </is>
      </c>
    </row>
    <row r="6" ht="15" customHeight="1" s="225">
      <c r="B6" s="328" t="inlineStr">
        <is>
          <t>Efectividad de los mitigantes contra el catálogo de 14 obligaciones (hoja A4 CONTROLES MINIMOS):</t>
        </is>
      </c>
      <c r="F6" s="329">
        <f>'A4 CONTROLES MINIMOS'!$F$28</f>
        <v/>
      </c>
    </row>
    <row r="7" ht="15" customHeight="1" s="225">
      <c r="B7" s="328" t="inlineStr">
        <is>
          <t>Tope máximo de reducción (PARÁMETROS, celda C30):</t>
        </is>
      </c>
      <c r="F7" s="320">
        <f>PARAMETROS!$C$30</f>
        <v/>
      </c>
    </row>
    <row r="8" ht="15" customHeight="1" s="225">
      <c r="B8" s="330" t="inlineStr">
        <is>
          <t>Reducción aplicada = Efectividad × Tope:</t>
        </is>
      </c>
      <c r="F8" s="326">
        <f>$F$6*$F$7</f>
        <v/>
      </c>
    </row>
    <row r="9" ht="15" customHeight="1" s="225">
      <c r="B9" s="295" t="inlineStr">
        <is>
          <t>La efectividad se mide contra un denominador fijo: las 14 obligaciones del Art. 37 Bis, menos las excluidas por «No aplica». Una obligación sin registrar computa 0%, y una registrada sin numeral del Manual o sin evidencia de aplicación efectiva también (Art. 10 Septies 1, fr. III). Registrar menos no mejora el resultado.</t>
        </is>
      </c>
    </row>
    <row r="11" ht="21" customHeight="1" s="225">
      <c r="B11" s="272" t="inlineStr">
        <is>
          <t>1 · RIESGO RESIDUAL DE LA ENTIDAD</t>
        </is>
      </c>
    </row>
    <row r="12" ht="27.75" customHeight="1" s="225">
      <c r="B12" s="231" t="inlineStr">
        <is>
          <t>#</t>
        </is>
      </c>
      <c r="C12" s="231" t="inlineStr">
        <is>
          <t>Ámbito evaluado</t>
        </is>
      </c>
      <c r="D12" s="231" t="inlineStr">
        <is>
          <t>Riesgo inh.</t>
        </is>
      </c>
      <c r="E12" s="231" t="inlineStr">
        <is>
          <t>Reducción</t>
        </is>
      </c>
      <c r="F12" s="231" t="inlineStr">
        <is>
          <t>Riesgo resid.</t>
        </is>
      </c>
      <c r="G12" s="231" t="inlineStr">
        <is>
          <t>Nivel</t>
        </is>
      </c>
      <c r="H12" s="231" t="inlineStr">
        <is>
          <t>Tratamiento</t>
        </is>
      </c>
    </row>
    <row r="13" ht="15" customHeight="1" s="225">
      <c r="B13" s="331" t="n"/>
      <c r="C13" s="279" t="inlineStr">
        <is>
          <t>ENTIDAD · resultado ponderado de los 4 elementos</t>
        </is>
      </c>
      <c r="D13" s="332">
        <f>'A3 INHERENTE'!E12</f>
        <v/>
      </c>
      <c r="E13" s="333">
        <f>$F$8</f>
        <v/>
      </c>
      <c r="F13" s="332">
        <f>D13*(1-E13)</f>
        <v/>
      </c>
      <c r="G13" s="331">
        <f>IF(D13=0,"SIN EVALUAR",IFERROR(INDEX(PARAMETROS!$E$15:$E$19,MATCH(F13,PARAMETROS!$B$15:$B$19,1)),""))</f>
        <v/>
      </c>
      <c r="H13" s="334">
        <f>IF(G13="","",IFERROR(IF(MATCH(G13,PARAMETROS!$E$15:$E$19,0)&gt;MATCH(PARAMETROS!$C$25,PARAMETROS!$E$15:$E$19,0),"Plan de acción / mitigar","Aceptable / monitorear"),"Declara el nivel de tolerancia en PARÁMETROS C25"))</f>
        <v/>
      </c>
    </row>
    <row r="15" ht="21" customHeight="1" s="225">
      <c r="B15" s="272" t="inlineStr">
        <is>
          <t>2 · RIESGO RESIDUAL POR ELEMENTO (Art. 10 Septies 1, fr. I)</t>
        </is>
      </c>
    </row>
    <row r="16" ht="27.75" customHeight="1" s="225">
      <c r="B16" s="231" t="inlineStr">
        <is>
          <t>#</t>
        </is>
      </c>
      <c r="C16" s="231" t="inlineStr">
        <is>
          <t>Ámbito evaluado</t>
        </is>
      </c>
      <c r="D16" s="231" t="inlineStr">
        <is>
          <t>Riesgo inh.</t>
        </is>
      </c>
      <c r="E16" s="231" t="inlineStr">
        <is>
          <t>Reducción</t>
        </is>
      </c>
      <c r="F16" s="231" t="inlineStr">
        <is>
          <t>Riesgo resid.</t>
        </is>
      </c>
      <c r="G16" s="231" t="inlineStr">
        <is>
          <t>Nivel</t>
        </is>
      </c>
      <c r="H16" s="231" t="inlineStr">
        <is>
          <t>Tratamiento</t>
        </is>
      </c>
    </row>
    <row r="17" ht="15" customHeight="1" s="225">
      <c r="B17" s="293" t="n">
        <v>1</v>
      </c>
      <c r="C17" s="291" t="inlineStr">
        <is>
          <t>1. Actos u operaciones</t>
        </is>
      </c>
      <c r="D17" s="292">
        <f>'A3 INHERENTE'!E7</f>
        <v/>
      </c>
      <c r="E17" s="320">
        <f>$F$8</f>
        <v/>
      </c>
      <c r="F17" s="292">
        <f>D17*(1-E17)</f>
        <v/>
      </c>
      <c r="G17" s="293">
        <f>IF(D17=0,"SIN EVALUAR",IFERROR(INDEX(PARAMETROS!$E$15:$E$19,MATCH(F17,PARAMETROS!$B$15:$B$19,1)),""))</f>
        <v/>
      </c>
      <c r="H17" s="291">
        <f>IF(G17="","",IFERROR(IF(MATCH(G17,PARAMETROS!$E$15:$E$19,0)&gt;MATCH(PARAMETROS!$C$25,PARAMETROS!$E$15:$E$19,0),"Plan de acción / mitigar","Aceptable / monitorear"),"Declara el nivel de tolerancia en PARÁMETROS C25"))</f>
        <v/>
      </c>
    </row>
    <row r="18" ht="15" customHeight="1" s="225">
      <c r="B18" s="293" t="n">
        <v>2</v>
      </c>
      <c r="C18" s="291" t="inlineStr">
        <is>
          <t>2. Clientes / Usuarios</t>
        </is>
      </c>
      <c r="D18" s="292">
        <f>'A3 INHERENTE'!E8</f>
        <v/>
      </c>
      <c r="E18" s="320">
        <f>$F$8</f>
        <v/>
      </c>
      <c r="F18" s="292">
        <f>D18*(1-E18)</f>
        <v/>
      </c>
      <c r="G18" s="293">
        <f>IF(D18=0,"SIN EVALUAR",IFERROR(INDEX(PARAMETROS!$E$15:$E$19,MATCH(F18,PARAMETROS!$B$15:$B$19,1)),""))</f>
        <v/>
      </c>
      <c r="H18" s="291">
        <f>IF(G18="","",IFERROR(IF(MATCH(G18,PARAMETROS!$E$15:$E$19,0)&gt;MATCH(PARAMETROS!$C$25,PARAMETROS!$E$15:$E$19,0),"Plan de acción / mitigar","Aceptable / monitorear"),"Declara el nivel de tolerancia en PARÁMETROS C25"))</f>
        <v/>
      </c>
    </row>
    <row r="19" ht="15" customHeight="1" s="225">
      <c r="B19" s="293" t="n">
        <v>3</v>
      </c>
      <c r="C19" s="291" t="inlineStr">
        <is>
          <t>3. Países y áreas geográficas</t>
        </is>
      </c>
      <c r="D19" s="292">
        <f>'A3 INHERENTE'!E9</f>
        <v/>
      </c>
      <c r="E19" s="320">
        <f>$F$8</f>
        <v/>
      </c>
      <c r="F19" s="292">
        <f>D19*(1-E19)</f>
        <v/>
      </c>
      <c r="G19" s="293">
        <f>IF(D19=0,"SIN EVALUAR",IFERROR(INDEX(PARAMETROS!$E$15:$E$19,MATCH(F19,PARAMETROS!$B$15:$B$19,1)),""))</f>
        <v/>
      </c>
      <c r="H19" s="291">
        <f>IF(G19="","",IFERROR(IF(MATCH(G19,PARAMETROS!$E$15:$E$19,0)&gt;MATCH(PARAMETROS!$C$25,PARAMETROS!$E$15:$E$19,0),"Plan de acción / mitigar","Aceptable / monitorear"),"Declara el nivel de tolerancia en PARÁMETROS C25"))</f>
        <v/>
      </c>
    </row>
    <row r="20" ht="15" customHeight="1" s="225">
      <c r="B20" s="293" t="n">
        <v>4</v>
      </c>
      <c r="C20" s="291" t="inlineStr">
        <is>
          <t>4. Transacciones y canales</t>
        </is>
      </c>
      <c r="D20" s="292">
        <f>'A3 INHERENTE'!E10</f>
        <v/>
      </c>
      <c r="E20" s="320">
        <f>$F$8</f>
        <v/>
      </c>
      <c r="F20" s="292">
        <f>D20*(1-E20)</f>
        <v/>
      </c>
      <c r="G20" s="293">
        <f>IF(D20=0,"SIN EVALUAR",IFERROR(INDEX(PARAMETROS!$E$15:$E$19,MATCH(F20,PARAMETROS!$B$15:$B$19,1)),""))</f>
        <v/>
      </c>
      <c r="H20" s="291">
        <f>IF(G20="","",IFERROR(IF(MATCH(G20,PARAMETROS!$E$15:$E$19,0)&gt;MATCH(PARAMETROS!$C$25,PARAMETROS!$E$15:$E$19,0),"Plan de acción / mitigar","Aceptable / monitorear"),"Declara el nivel de tolerancia en PARÁMETROS C25"))</f>
        <v/>
      </c>
    </row>
    <row r="22" ht="21" customHeight="1" s="225">
      <c r="B22" s="272" t="inlineStr">
        <is>
          <t>3 · RIESGO RESIDUAL POR INDICADOR (Art. 10 Septies 1, fr. II)</t>
        </is>
      </c>
    </row>
    <row r="23" ht="27.75" customHeight="1" s="225">
      <c r="B23" s="231" t="inlineStr">
        <is>
          <t>#</t>
        </is>
      </c>
      <c r="C23" s="231" t="inlineStr">
        <is>
          <t>Ámbito evaluado</t>
        </is>
      </c>
      <c r="D23" s="231" t="inlineStr">
        <is>
          <t>Riesgo inh.</t>
        </is>
      </c>
      <c r="E23" s="231" t="inlineStr">
        <is>
          <t>Reducción</t>
        </is>
      </c>
      <c r="F23" s="231" t="inlineStr">
        <is>
          <t>Riesgo resid.</t>
        </is>
      </c>
      <c r="G23" s="231" t="inlineStr">
        <is>
          <t>Nivel</t>
        </is>
      </c>
      <c r="H23" s="231" t="inlineStr">
        <is>
          <t>Tratamiento</t>
        </is>
      </c>
      <c r="I23" s="231" t="inlineStr">
        <is>
          <t>Orden</t>
        </is>
      </c>
    </row>
    <row r="24" ht="25.5" customHeight="1" s="225">
      <c r="B24" s="293">
        <f>'A3 INHERENTE'!B16</f>
        <v/>
      </c>
      <c r="C24" s="277">
        <f>'A3 INHERENTE'!C16</f>
        <v/>
      </c>
      <c r="D24" s="292">
        <f>'A3 INHERENTE'!F16</f>
        <v/>
      </c>
      <c r="E24" s="320">
        <f>IF($D24="N/A","",$F$8)</f>
        <v/>
      </c>
      <c r="F24" s="292">
        <f>IF($D24="N/A","N/A",D24*(1-E24))</f>
        <v/>
      </c>
      <c r="G24" s="293">
        <f>IF($D24="N/A","No aplica",IF($D24=0,"SIN EVALUAR",IFERROR(INDEX(PARAMETROS!$E$15:$E$19,MATCH(F24,PARAMETROS!$B$15:$B$19,1)),"")))</f>
        <v/>
      </c>
      <c r="H24" s="291">
        <f>IF(OR($D24="N/A",$G24=""),"",IFERROR(IF(MATCH($G24,PARAMETROS!$E$15:$E$19,0)&gt;MATCH(PARAMETROS!$C$25,PARAMETROS!$E$15:$E$19,0),"Plan de acción / mitigar","Aceptable / monitorear"),"Declara el nivel de tolerancia en PARÁMETROS C25"))</f>
        <v/>
      </c>
      <c r="I24" s="335">
        <f>IF($D24="N/A",-1,F24+(49-ROW())/100000)</f>
        <v/>
      </c>
    </row>
    <row r="25" ht="25.5" customHeight="1" s="225">
      <c r="B25" s="293">
        <f>'A3 INHERENTE'!B17</f>
        <v/>
      </c>
      <c r="C25" s="277">
        <f>'A3 INHERENTE'!C17</f>
        <v/>
      </c>
      <c r="D25" s="292">
        <f>'A3 INHERENTE'!F17</f>
        <v/>
      </c>
      <c r="E25" s="320">
        <f>IF($D25="N/A","",$F$8)</f>
        <v/>
      </c>
      <c r="F25" s="292">
        <f>IF($D25="N/A","N/A",D25*(1-E25))</f>
        <v/>
      </c>
      <c r="G25" s="293">
        <f>IF($D25="N/A","No aplica",IF($D25=0,"SIN EVALUAR",IFERROR(INDEX(PARAMETROS!$E$15:$E$19,MATCH(F25,PARAMETROS!$B$15:$B$19,1)),"")))</f>
        <v/>
      </c>
      <c r="H25" s="291">
        <f>IF(OR($D25="N/A",$G25=""),"",IFERROR(IF(MATCH($G25,PARAMETROS!$E$15:$E$19,0)&gt;MATCH(PARAMETROS!$C$25,PARAMETROS!$E$15:$E$19,0),"Plan de acción / mitigar","Aceptable / monitorear"),"Declara el nivel de tolerancia en PARÁMETROS C25"))</f>
        <v/>
      </c>
      <c r="I25" s="335">
        <f>IF($D25="N/A",-1,F25+(49-ROW())/100000)</f>
        <v/>
      </c>
    </row>
    <row r="26" ht="25.5" customHeight="1" s="225">
      <c r="B26" s="293">
        <f>'A3 INHERENTE'!B18</f>
        <v/>
      </c>
      <c r="C26" s="277">
        <f>'A3 INHERENTE'!C18</f>
        <v/>
      </c>
      <c r="D26" s="292">
        <f>'A3 INHERENTE'!F18</f>
        <v/>
      </c>
      <c r="E26" s="320">
        <f>IF($D26="N/A","",$F$8)</f>
        <v/>
      </c>
      <c r="F26" s="292">
        <f>IF($D26="N/A","N/A",D26*(1-E26))</f>
        <v/>
      </c>
      <c r="G26" s="293">
        <f>IF($D26="N/A","No aplica",IF($D26=0,"SIN EVALUAR",IFERROR(INDEX(PARAMETROS!$E$15:$E$19,MATCH(F26,PARAMETROS!$B$15:$B$19,1)),"")))</f>
        <v/>
      </c>
      <c r="H26" s="291">
        <f>IF(OR($D26="N/A",$G26=""),"",IFERROR(IF(MATCH($G26,PARAMETROS!$E$15:$E$19,0)&gt;MATCH(PARAMETROS!$C$25,PARAMETROS!$E$15:$E$19,0),"Plan de acción / mitigar","Aceptable / monitorear"),"Declara el nivel de tolerancia en PARÁMETROS C25"))</f>
        <v/>
      </c>
      <c r="I26" s="335">
        <f>IF($D26="N/A",-1,F26+(49-ROW())/100000)</f>
        <v/>
      </c>
    </row>
    <row r="27" ht="25.5" customHeight="1" s="225">
      <c r="B27" s="293">
        <f>'A3 INHERENTE'!B19</f>
        <v/>
      </c>
      <c r="C27" s="277">
        <f>'A3 INHERENTE'!C19</f>
        <v/>
      </c>
      <c r="D27" s="292">
        <f>'A3 INHERENTE'!F19</f>
        <v/>
      </c>
      <c r="E27" s="320">
        <f>IF($D27="N/A","",$F$8)</f>
        <v/>
      </c>
      <c r="F27" s="292">
        <f>IF($D27="N/A","N/A",D27*(1-E27))</f>
        <v/>
      </c>
      <c r="G27" s="293">
        <f>IF($D27="N/A","No aplica",IF($D27=0,"SIN EVALUAR",IFERROR(INDEX(PARAMETROS!$E$15:$E$19,MATCH(F27,PARAMETROS!$B$15:$B$19,1)),"")))</f>
        <v/>
      </c>
      <c r="H27" s="291">
        <f>IF(OR($D27="N/A",$G27=""),"",IFERROR(IF(MATCH($G27,PARAMETROS!$E$15:$E$19,0)&gt;MATCH(PARAMETROS!$C$25,PARAMETROS!$E$15:$E$19,0),"Plan de acción / mitigar","Aceptable / monitorear"),"Declara el nivel de tolerancia en PARÁMETROS C25"))</f>
        <v/>
      </c>
      <c r="I27" s="335">
        <f>IF($D27="N/A",-1,F27+(49-ROW())/100000)</f>
        <v/>
      </c>
    </row>
    <row r="28" ht="25.5" customHeight="1" s="225">
      <c r="B28" s="293">
        <f>'A3 INHERENTE'!B20</f>
        <v/>
      </c>
      <c r="C28" s="277">
        <f>'A3 INHERENTE'!C20</f>
        <v/>
      </c>
      <c r="D28" s="292">
        <f>'A3 INHERENTE'!F20</f>
        <v/>
      </c>
      <c r="E28" s="320">
        <f>IF($D28="N/A","",$F$8)</f>
        <v/>
      </c>
      <c r="F28" s="292">
        <f>IF($D28="N/A","N/A",D28*(1-E28))</f>
        <v/>
      </c>
      <c r="G28" s="293">
        <f>IF($D28="N/A","No aplica",IF($D28=0,"SIN EVALUAR",IFERROR(INDEX(PARAMETROS!$E$15:$E$19,MATCH(F28,PARAMETROS!$B$15:$B$19,1)),"")))</f>
        <v/>
      </c>
      <c r="H28" s="291">
        <f>IF(OR($D28="N/A",$G28=""),"",IFERROR(IF(MATCH($G28,PARAMETROS!$E$15:$E$19,0)&gt;MATCH(PARAMETROS!$C$25,PARAMETROS!$E$15:$E$19,0),"Plan de acción / mitigar","Aceptable / monitorear"),"Declara el nivel de tolerancia en PARÁMETROS C25"))</f>
        <v/>
      </c>
      <c r="I28" s="335">
        <f>IF($D28="N/A",-1,F28+(49-ROW())/100000)</f>
        <v/>
      </c>
    </row>
    <row r="29" ht="25.5" customHeight="1" s="225">
      <c r="B29" s="293">
        <f>'A3 INHERENTE'!B21</f>
        <v/>
      </c>
      <c r="C29" s="277">
        <f>'A3 INHERENTE'!C21</f>
        <v/>
      </c>
      <c r="D29" s="292">
        <f>'A3 INHERENTE'!F21</f>
        <v/>
      </c>
      <c r="E29" s="320">
        <f>IF($D29="N/A","",$F$8)</f>
        <v/>
      </c>
      <c r="F29" s="292">
        <f>IF($D29="N/A","N/A",D29*(1-E29))</f>
        <v/>
      </c>
      <c r="G29" s="293">
        <f>IF($D29="N/A","No aplica",IF($D29=0,"SIN EVALUAR",IFERROR(INDEX(PARAMETROS!$E$15:$E$19,MATCH(F29,PARAMETROS!$B$15:$B$19,1)),"")))</f>
        <v/>
      </c>
      <c r="H29" s="291">
        <f>IF(OR($D29="N/A",$G29=""),"",IFERROR(IF(MATCH($G29,PARAMETROS!$E$15:$E$19,0)&gt;MATCH(PARAMETROS!$C$25,PARAMETROS!$E$15:$E$19,0),"Plan de acción / mitigar","Aceptable / monitorear"),"Declara el nivel de tolerancia en PARÁMETROS C25"))</f>
        <v/>
      </c>
      <c r="I29" s="335">
        <f>IF($D29="N/A",-1,F29+(49-ROW())/100000)</f>
        <v/>
      </c>
    </row>
    <row r="30" ht="25.5" customHeight="1" s="225">
      <c r="B30" s="293">
        <f>'A3 INHERENTE'!B22</f>
        <v/>
      </c>
      <c r="C30" s="277">
        <f>'A3 INHERENTE'!C22</f>
        <v/>
      </c>
      <c r="D30" s="292">
        <f>'A3 INHERENTE'!F22</f>
        <v/>
      </c>
      <c r="E30" s="320">
        <f>IF($D30="N/A","",$F$8)</f>
        <v/>
      </c>
      <c r="F30" s="292">
        <f>IF($D30="N/A","N/A",D30*(1-E30))</f>
        <v/>
      </c>
      <c r="G30" s="293">
        <f>IF($D30="N/A","No aplica",IF($D30=0,"SIN EVALUAR",IFERROR(INDEX(PARAMETROS!$E$15:$E$19,MATCH(F30,PARAMETROS!$B$15:$B$19,1)),"")))</f>
        <v/>
      </c>
      <c r="H30" s="291">
        <f>IF(OR($D30="N/A",$G30=""),"",IFERROR(IF(MATCH($G30,PARAMETROS!$E$15:$E$19,0)&gt;MATCH(PARAMETROS!$C$25,PARAMETROS!$E$15:$E$19,0),"Plan de acción / mitigar","Aceptable / monitorear"),"Declara el nivel de tolerancia en PARÁMETROS C25"))</f>
        <v/>
      </c>
      <c r="I30" s="335">
        <f>IF($D30="N/A",-1,F30+(49-ROW())/100000)</f>
        <v/>
      </c>
    </row>
    <row r="31" ht="25.5" customHeight="1" s="225">
      <c r="B31" s="293">
        <f>'A3 INHERENTE'!B23</f>
        <v/>
      </c>
      <c r="C31" s="277">
        <f>'A3 INHERENTE'!C23</f>
        <v/>
      </c>
      <c r="D31" s="292">
        <f>'A3 INHERENTE'!F23</f>
        <v/>
      </c>
      <c r="E31" s="320">
        <f>IF($D31="N/A","",$F$8)</f>
        <v/>
      </c>
      <c r="F31" s="292">
        <f>IF($D31="N/A","N/A",D31*(1-E31))</f>
        <v/>
      </c>
      <c r="G31" s="293">
        <f>IF($D31="N/A","No aplica",IF($D31=0,"SIN EVALUAR",IFERROR(INDEX(PARAMETROS!$E$15:$E$19,MATCH(F31,PARAMETROS!$B$15:$B$19,1)),"")))</f>
        <v/>
      </c>
      <c r="H31" s="291">
        <f>IF(OR($D31="N/A",$G31=""),"",IFERROR(IF(MATCH($G31,PARAMETROS!$E$15:$E$19,0)&gt;MATCH(PARAMETROS!$C$25,PARAMETROS!$E$15:$E$19,0),"Plan de acción / mitigar","Aceptable / monitorear"),"Declara el nivel de tolerancia en PARÁMETROS C25"))</f>
        <v/>
      </c>
      <c r="I31" s="335">
        <f>IF($D31="N/A",-1,F31+(49-ROW())/100000)</f>
        <v/>
      </c>
    </row>
    <row r="32" ht="25.5" customHeight="1" s="225">
      <c r="B32" s="293">
        <f>'A3 INHERENTE'!B24</f>
        <v/>
      </c>
      <c r="C32" s="277">
        <f>'A3 INHERENTE'!C24</f>
        <v/>
      </c>
      <c r="D32" s="292">
        <f>'A3 INHERENTE'!F24</f>
        <v/>
      </c>
      <c r="E32" s="320">
        <f>IF($D32="N/A","",$F$8)</f>
        <v/>
      </c>
      <c r="F32" s="292">
        <f>IF($D32="N/A","N/A",D32*(1-E32))</f>
        <v/>
      </c>
      <c r="G32" s="293">
        <f>IF($D32="N/A","No aplica",IF($D32=0,"SIN EVALUAR",IFERROR(INDEX(PARAMETROS!$E$15:$E$19,MATCH(F32,PARAMETROS!$B$15:$B$19,1)),"")))</f>
        <v/>
      </c>
      <c r="H32" s="291">
        <f>IF(OR($D32="N/A",$G32=""),"",IFERROR(IF(MATCH($G32,PARAMETROS!$E$15:$E$19,0)&gt;MATCH(PARAMETROS!$C$25,PARAMETROS!$E$15:$E$19,0),"Plan de acción / mitigar","Aceptable / monitorear"),"Declara el nivel de tolerancia en PARÁMETROS C25"))</f>
        <v/>
      </c>
      <c r="I32" s="335">
        <f>IF($D32="N/A",-1,F32+(49-ROW())/100000)</f>
        <v/>
      </c>
    </row>
    <row r="33" ht="25.5" customHeight="1" s="225">
      <c r="B33" s="293">
        <f>'A3 INHERENTE'!B25</f>
        <v/>
      </c>
      <c r="C33" s="277">
        <f>'A3 INHERENTE'!C25</f>
        <v/>
      </c>
      <c r="D33" s="292">
        <f>'A3 INHERENTE'!F25</f>
        <v/>
      </c>
      <c r="E33" s="320">
        <f>IF($D33="N/A","",$F$8)</f>
        <v/>
      </c>
      <c r="F33" s="292">
        <f>IF($D33="N/A","N/A",D33*(1-E33))</f>
        <v/>
      </c>
      <c r="G33" s="293">
        <f>IF($D33="N/A","No aplica",IF($D33=0,"SIN EVALUAR",IFERROR(INDEX(PARAMETROS!$E$15:$E$19,MATCH(F33,PARAMETROS!$B$15:$B$19,1)),"")))</f>
        <v/>
      </c>
      <c r="H33" s="291">
        <f>IF(OR($D33="N/A",$G33=""),"",IFERROR(IF(MATCH($G33,PARAMETROS!$E$15:$E$19,0)&gt;MATCH(PARAMETROS!$C$25,PARAMETROS!$E$15:$E$19,0),"Plan de acción / mitigar","Aceptable / monitorear"),"Declara el nivel de tolerancia en PARÁMETROS C25"))</f>
        <v/>
      </c>
      <c r="I33" s="335">
        <f>IF($D33="N/A",-1,F33+(49-ROW())/100000)</f>
        <v/>
      </c>
    </row>
    <row r="34" ht="25.5" customHeight="1" s="225">
      <c r="B34" s="293">
        <f>'A3 INHERENTE'!B26</f>
        <v/>
      </c>
      <c r="C34" s="277">
        <f>'A3 INHERENTE'!C26</f>
        <v/>
      </c>
      <c r="D34" s="292">
        <f>'A3 INHERENTE'!F26</f>
        <v/>
      </c>
      <c r="E34" s="320">
        <f>IF($D34="N/A","",$F$8)</f>
        <v/>
      </c>
      <c r="F34" s="292">
        <f>IF($D34="N/A","N/A",D34*(1-E34))</f>
        <v/>
      </c>
      <c r="G34" s="293">
        <f>IF($D34="N/A","No aplica",IF($D34=0,"SIN EVALUAR",IFERROR(INDEX(PARAMETROS!$E$15:$E$19,MATCH(F34,PARAMETROS!$B$15:$B$19,1)),"")))</f>
        <v/>
      </c>
      <c r="H34" s="291">
        <f>IF(OR($D34="N/A",$G34=""),"",IFERROR(IF(MATCH($G34,PARAMETROS!$E$15:$E$19,0)&gt;MATCH(PARAMETROS!$C$25,PARAMETROS!$E$15:$E$19,0),"Plan de acción / mitigar","Aceptable / monitorear"),"Declara el nivel de tolerancia en PARÁMETROS C25"))</f>
        <v/>
      </c>
      <c r="I34" s="335">
        <f>IF($D34="N/A",-1,F34+(49-ROW())/100000)</f>
        <v/>
      </c>
    </row>
    <row r="35" ht="25.5" customHeight="1" s="225">
      <c r="B35" s="293">
        <f>'A3 INHERENTE'!B27</f>
        <v/>
      </c>
      <c r="C35" s="277">
        <f>'A3 INHERENTE'!C27</f>
        <v/>
      </c>
      <c r="D35" s="292">
        <f>'A3 INHERENTE'!F27</f>
        <v/>
      </c>
      <c r="E35" s="320">
        <f>IF($D35="N/A","",$F$8)</f>
        <v/>
      </c>
      <c r="F35" s="292">
        <f>IF($D35="N/A","N/A",D35*(1-E35))</f>
        <v/>
      </c>
      <c r="G35" s="293">
        <f>IF($D35="N/A","No aplica",IF($D35=0,"SIN EVALUAR",IFERROR(INDEX(PARAMETROS!$E$15:$E$19,MATCH(F35,PARAMETROS!$B$15:$B$19,1)),"")))</f>
        <v/>
      </c>
      <c r="H35" s="291">
        <f>IF(OR($D35="N/A",$G35=""),"",IFERROR(IF(MATCH($G35,PARAMETROS!$E$15:$E$19,0)&gt;MATCH(PARAMETROS!$C$25,PARAMETROS!$E$15:$E$19,0),"Plan de acción / mitigar","Aceptable / monitorear"),"Declara el nivel de tolerancia en PARÁMETROS C25"))</f>
        <v/>
      </c>
      <c r="I35" s="335">
        <f>IF($D35="N/A",-1,F35+(49-ROW())/100000)</f>
        <v/>
      </c>
    </row>
    <row r="36" ht="25.5" customHeight="1" s="225">
      <c r="B36" s="293">
        <f>'A3 INHERENTE'!B28</f>
        <v/>
      </c>
      <c r="C36" s="277">
        <f>'A3 INHERENTE'!C28</f>
        <v/>
      </c>
      <c r="D36" s="292">
        <f>'A3 INHERENTE'!F28</f>
        <v/>
      </c>
      <c r="E36" s="320">
        <f>IF($D36="N/A","",$F$8)</f>
        <v/>
      </c>
      <c r="F36" s="292">
        <f>IF($D36="N/A","N/A",D36*(1-E36))</f>
        <v/>
      </c>
      <c r="G36" s="293">
        <f>IF($D36="N/A","No aplica",IF($D36=0,"SIN EVALUAR",IFERROR(INDEX(PARAMETROS!$E$15:$E$19,MATCH(F36,PARAMETROS!$B$15:$B$19,1)),"")))</f>
        <v/>
      </c>
      <c r="H36" s="291">
        <f>IF(OR($D36="N/A",$G36=""),"",IFERROR(IF(MATCH($G36,PARAMETROS!$E$15:$E$19,0)&gt;MATCH(PARAMETROS!$C$25,PARAMETROS!$E$15:$E$19,0),"Plan de acción / mitigar","Aceptable / monitorear"),"Declara el nivel de tolerancia en PARÁMETROS C25"))</f>
        <v/>
      </c>
      <c r="I36" s="335">
        <f>IF($D36="N/A",-1,F36+(49-ROW())/100000)</f>
        <v/>
      </c>
    </row>
    <row r="37" ht="25.5" customHeight="1" s="225">
      <c r="B37" s="293">
        <f>'A3 INHERENTE'!B29</f>
        <v/>
      </c>
      <c r="C37" s="277">
        <f>'A3 INHERENTE'!C29</f>
        <v/>
      </c>
      <c r="D37" s="292">
        <f>'A3 INHERENTE'!F29</f>
        <v/>
      </c>
      <c r="E37" s="320">
        <f>IF($D37="N/A","",$F$8)</f>
        <v/>
      </c>
      <c r="F37" s="292">
        <f>IF($D37="N/A","N/A",D37*(1-E37))</f>
        <v/>
      </c>
      <c r="G37" s="293">
        <f>IF($D37="N/A","No aplica",IF($D37=0,"SIN EVALUAR",IFERROR(INDEX(PARAMETROS!$E$15:$E$19,MATCH(F37,PARAMETROS!$B$15:$B$19,1)),"")))</f>
        <v/>
      </c>
      <c r="H37" s="291">
        <f>IF(OR($D37="N/A",$G37=""),"",IFERROR(IF(MATCH($G37,PARAMETROS!$E$15:$E$19,0)&gt;MATCH(PARAMETROS!$C$25,PARAMETROS!$E$15:$E$19,0),"Plan de acción / mitigar","Aceptable / monitorear"),"Declara el nivel de tolerancia en PARÁMETROS C25"))</f>
        <v/>
      </c>
      <c r="I37" s="335">
        <f>IF($D37="N/A",-1,F37+(49-ROW())/100000)</f>
        <v/>
      </c>
    </row>
    <row r="38" ht="25.5" customHeight="1" s="225">
      <c r="B38" s="293">
        <f>'A3 INHERENTE'!B30</f>
        <v/>
      </c>
      <c r="C38" s="277">
        <f>'A3 INHERENTE'!C30</f>
        <v/>
      </c>
      <c r="D38" s="292">
        <f>'A3 INHERENTE'!F30</f>
        <v/>
      </c>
      <c r="E38" s="320">
        <f>IF($D38="N/A","",$F$8)</f>
        <v/>
      </c>
      <c r="F38" s="292">
        <f>IF($D38="N/A","N/A",D38*(1-E38))</f>
        <v/>
      </c>
      <c r="G38" s="293">
        <f>IF($D38="N/A","No aplica",IF($D38=0,"SIN EVALUAR",IFERROR(INDEX(PARAMETROS!$E$15:$E$19,MATCH(F38,PARAMETROS!$B$15:$B$19,1)),"")))</f>
        <v/>
      </c>
      <c r="H38" s="291">
        <f>IF(OR($D38="N/A",$G38=""),"",IFERROR(IF(MATCH($G38,PARAMETROS!$E$15:$E$19,0)&gt;MATCH(PARAMETROS!$C$25,PARAMETROS!$E$15:$E$19,0),"Plan de acción / mitigar","Aceptable / monitorear"),"Declara el nivel de tolerancia en PARÁMETROS C25"))</f>
        <v/>
      </c>
      <c r="I38" s="335">
        <f>IF($D38="N/A",-1,F38+(49-ROW())/100000)</f>
        <v/>
      </c>
    </row>
    <row r="39" ht="25.5" customHeight="1" s="225">
      <c r="B39" s="293">
        <f>'A3 INHERENTE'!B31</f>
        <v/>
      </c>
      <c r="C39" s="277">
        <f>'A3 INHERENTE'!C31</f>
        <v/>
      </c>
      <c r="D39" s="292">
        <f>'A3 INHERENTE'!F31</f>
        <v/>
      </c>
      <c r="E39" s="320">
        <f>IF($D39="N/A","",$F$8)</f>
        <v/>
      </c>
      <c r="F39" s="292">
        <f>IF($D39="N/A","N/A",D39*(1-E39))</f>
        <v/>
      </c>
      <c r="G39" s="293">
        <f>IF($D39="N/A","No aplica",IF($D39=0,"SIN EVALUAR",IFERROR(INDEX(PARAMETROS!$E$15:$E$19,MATCH(F39,PARAMETROS!$B$15:$B$19,1)),"")))</f>
        <v/>
      </c>
      <c r="H39" s="291">
        <f>IF(OR($D39="N/A",$G39=""),"",IFERROR(IF(MATCH($G39,PARAMETROS!$E$15:$E$19,0)&gt;MATCH(PARAMETROS!$C$25,PARAMETROS!$E$15:$E$19,0),"Plan de acción / mitigar","Aceptable / monitorear"),"Declara el nivel de tolerancia en PARÁMETROS C25"))</f>
        <v/>
      </c>
      <c r="I39" s="335">
        <f>IF($D39="N/A",-1,F39+(49-ROW())/100000)</f>
        <v/>
      </c>
    </row>
    <row r="40" ht="25.5" customHeight="1" s="225">
      <c r="B40" s="293">
        <f>'A3 INHERENTE'!B32</f>
        <v/>
      </c>
      <c r="C40" s="277">
        <f>'A3 INHERENTE'!C32</f>
        <v/>
      </c>
      <c r="D40" s="292">
        <f>'A3 INHERENTE'!F32</f>
        <v/>
      </c>
      <c r="E40" s="320">
        <f>IF($D40="N/A","",$F$8)</f>
        <v/>
      </c>
      <c r="F40" s="292">
        <f>IF($D40="N/A","N/A",D40*(1-E40))</f>
        <v/>
      </c>
      <c r="G40" s="293">
        <f>IF($D40="N/A","No aplica",IF($D40=0,"SIN EVALUAR",IFERROR(INDEX(PARAMETROS!$E$15:$E$19,MATCH(F40,PARAMETROS!$B$15:$B$19,1)),"")))</f>
        <v/>
      </c>
      <c r="H40" s="291">
        <f>IF(OR($D40="N/A",$G40=""),"",IFERROR(IF(MATCH($G40,PARAMETROS!$E$15:$E$19,0)&gt;MATCH(PARAMETROS!$C$25,PARAMETROS!$E$15:$E$19,0),"Plan de acción / mitigar","Aceptable / monitorear"),"Declara el nivel de tolerancia en PARÁMETROS C25"))</f>
        <v/>
      </c>
      <c r="I40" s="335">
        <f>IF($D40="N/A",-1,F40+(49-ROW())/100000)</f>
        <v/>
      </c>
    </row>
    <row r="41" ht="25.5" customHeight="1" s="225">
      <c r="B41" s="293">
        <f>'A3 INHERENTE'!B33</f>
        <v/>
      </c>
      <c r="C41" s="277">
        <f>'A3 INHERENTE'!C33</f>
        <v/>
      </c>
      <c r="D41" s="292">
        <f>'A3 INHERENTE'!F33</f>
        <v/>
      </c>
      <c r="E41" s="320">
        <f>IF($D41="N/A","",$F$8)</f>
        <v/>
      </c>
      <c r="F41" s="292">
        <f>IF($D41="N/A","N/A",D41*(1-E41))</f>
        <v/>
      </c>
      <c r="G41" s="293">
        <f>IF($D41="N/A","No aplica",IF($D41=0,"SIN EVALUAR",IFERROR(INDEX(PARAMETROS!$E$15:$E$19,MATCH(F41,PARAMETROS!$B$15:$B$19,1)),"")))</f>
        <v/>
      </c>
      <c r="H41" s="291">
        <f>IF(OR($D41="N/A",$G41=""),"",IFERROR(IF(MATCH($G41,PARAMETROS!$E$15:$E$19,0)&gt;MATCH(PARAMETROS!$C$25,PARAMETROS!$E$15:$E$19,0),"Plan de acción / mitigar","Aceptable / monitorear"),"Declara el nivel de tolerancia en PARÁMETROS C25"))</f>
        <v/>
      </c>
      <c r="I41" s="335">
        <f>IF($D41="N/A",-1,F41+(49-ROW())/100000)</f>
        <v/>
      </c>
    </row>
    <row r="42" ht="25.5" customHeight="1" s="225">
      <c r="B42" s="293">
        <f>'A3 INHERENTE'!B34</f>
        <v/>
      </c>
      <c r="C42" s="277">
        <f>'A3 INHERENTE'!C34</f>
        <v/>
      </c>
      <c r="D42" s="292">
        <f>'A3 INHERENTE'!F34</f>
        <v/>
      </c>
      <c r="E42" s="320">
        <f>IF($D42="N/A","",$F$8)</f>
        <v/>
      </c>
      <c r="F42" s="292">
        <f>IF($D42="N/A","N/A",D42*(1-E42))</f>
        <v/>
      </c>
      <c r="G42" s="293">
        <f>IF($D42="N/A","No aplica",IF($D42=0,"SIN EVALUAR",IFERROR(INDEX(PARAMETROS!$E$15:$E$19,MATCH(F42,PARAMETROS!$B$15:$B$19,1)),"")))</f>
        <v/>
      </c>
      <c r="H42" s="291">
        <f>IF(OR($D42="N/A",$G42=""),"",IFERROR(IF(MATCH($G42,PARAMETROS!$E$15:$E$19,0)&gt;MATCH(PARAMETROS!$C$25,PARAMETROS!$E$15:$E$19,0),"Plan de acción / mitigar","Aceptable / monitorear"),"Declara el nivel de tolerancia en PARÁMETROS C25"))</f>
        <v/>
      </c>
      <c r="I42" s="335">
        <f>IF($D42="N/A",-1,F42+(49-ROW())/100000)</f>
        <v/>
      </c>
    </row>
    <row r="43" ht="25.5" customHeight="1" s="225">
      <c r="B43" s="293">
        <f>'A3 INHERENTE'!B35</f>
        <v/>
      </c>
      <c r="C43" s="277">
        <f>'A3 INHERENTE'!C35</f>
        <v/>
      </c>
      <c r="D43" s="292">
        <f>'A3 INHERENTE'!F35</f>
        <v/>
      </c>
      <c r="E43" s="320">
        <f>IF($D43="N/A","",$F$8)</f>
        <v/>
      </c>
      <c r="F43" s="292">
        <f>IF($D43="N/A","N/A",D43*(1-E43))</f>
        <v/>
      </c>
      <c r="G43" s="293">
        <f>IF($D43="N/A","No aplica",IF($D43=0,"SIN EVALUAR",IFERROR(INDEX(PARAMETROS!$E$15:$E$19,MATCH(F43,PARAMETROS!$B$15:$B$19,1)),"")))</f>
        <v/>
      </c>
      <c r="H43" s="291">
        <f>IF(OR($D43="N/A",$G43=""),"",IFERROR(IF(MATCH($G43,PARAMETROS!$E$15:$E$19,0)&gt;MATCH(PARAMETROS!$C$25,PARAMETROS!$E$15:$E$19,0),"Plan de acción / mitigar","Aceptable / monitorear"),"Declara el nivel de tolerancia en PARÁMETROS C25"))</f>
        <v/>
      </c>
      <c r="I43" s="335">
        <f>IF($D43="N/A",-1,F43+(49-ROW())/100000)</f>
        <v/>
      </c>
    </row>
    <row r="44" ht="25.5" customHeight="1" s="225">
      <c r="B44" s="293">
        <f>'A3 INHERENTE'!B36</f>
        <v/>
      </c>
      <c r="C44" s="277">
        <f>'A3 INHERENTE'!C36</f>
        <v/>
      </c>
      <c r="D44" s="292">
        <f>'A3 INHERENTE'!F36</f>
        <v/>
      </c>
      <c r="E44" s="320">
        <f>IF($D44="N/A","",$F$8)</f>
        <v/>
      </c>
      <c r="F44" s="292">
        <f>IF($D44="N/A","N/A",D44*(1-E44))</f>
        <v/>
      </c>
      <c r="G44" s="293">
        <f>IF($D44="N/A","No aplica",IF($D44=0,"SIN EVALUAR",IFERROR(INDEX(PARAMETROS!$E$15:$E$19,MATCH(F44,PARAMETROS!$B$15:$B$19,1)),"")))</f>
        <v/>
      </c>
      <c r="H44" s="291">
        <f>IF(OR($D44="N/A",$G44=""),"",IFERROR(IF(MATCH($G44,PARAMETROS!$E$15:$E$19,0)&gt;MATCH(PARAMETROS!$C$25,PARAMETROS!$E$15:$E$19,0),"Plan de acción / mitigar","Aceptable / monitorear"),"Declara el nivel de tolerancia en PARÁMETROS C25"))</f>
        <v/>
      </c>
      <c r="I44" s="335">
        <f>IF($D44="N/A",-1,F44+(49-ROW())/100000)</f>
        <v/>
      </c>
    </row>
    <row r="45" ht="25.5" customHeight="1" s="225">
      <c r="B45" s="293">
        <f>'A3 INHERENTE'!B37</f>
        <v/>
      </c>
      <c r="C45" s="277">
        <f>'A3 INHERENTE'!C37</f>
        <v/>
      </c>
      <c r="D45" s="292">
        <f>'A3 INHERENTE'!F37</f>
        <v/>
      </c>
      <c r="E45" s="320">
        <f>IF($D45="N/A","",$F$8)</f>
        <v/>
      </c>
      <c r="F45" s="292">
        <f>IF($D45="N/A","N/A",D45*(1-E45))</f>
        <v/>
      </c>
      <c r="G45" s="293">
        <f>IF($D45="N/A","No aplica",IF($D45=0,"SIN EVALUAR",IFERROR(INDEX(PARAMETROS!$E$15:$E$19,MATCH(F45,PARAMETROS!$B$15:$B$19,1)),"")))</f>
        <v/>
      </c>
      <c r="H45" s="291">
        <f>IF(OR($D45="N/A",$G45=""),"",IFERROR(IF(MATCH($G45,PARAMETROS!$E$15:$E$19,0)&gt;MATCH(PARAMETROS!$C$25,PARAMETROS!$E$15:$E$19,0),"Plan de acción / mitigar","Aceptable / monitorear"),"Declara el nivel de tolerancia en PARÁMETROS C25"))</f>
        <v/>
      </c>
      <c r="I45" s="335">
        <f>IF($D45="N/A",-1,F45+(49-ROW())/100000)</f>
        <v/>
      </c>
    </row>
    <row r="46" ht="25.5" customHeight="1" s="225">
      <c r="B46" s="293">
        <f>'A3 INHERENTE'!B38</f>
        <v/>
      </c>
      <c r="C46" s="277">
        <f>'A3 INHERENTE'!C38</f>
        <v/>
      </c>
      <c r="D46" s="292">
        <f>'A3 INHERENTE'!F38</f>
        <v/>
      </c>
      <c r="E46" s="320">
        <f>IF($D46="N/A","",$F$8)</f>
        <v/>
      </c>
      <c r="F46" s="292">
        <f>IF($D46="N/A","N/A",D46*(1-E46))</f>
        <v/>
      </c>
      <c r="G46" s="293">
        <f>IF($D46="N/A","No aplica",IF($D46=0,"SIN EVALUAR",IFERROR(INDEX(PARAMETROS!$E$15:$E$19,MATCH(F46,PARAMETROS!$B$15:$B$19,1)),"")))</f>
        <v/>
      </c>
      <c r="H46" s="291">
        <f>IF(OR($D46="N/A",$G46=""),"",IFERROR(IF(MATCH($G46,PARAMETROS!$E$15:$E$19,0)&gt;MATCH(PARAMETROS!$C$25,PARAMETROS!$E$15:$E$19,0),"Plan de acción / mitigar","Aceptable / monitorear"),"Declara el nivel de tolerancia en PARÁMETROS C25"))</f>
        <v/>
      </c>
      <c r="I46" s="335">
        <f>IF($D46="N/A",-1,F46+(49-ROW())/100000)</f>
        <v/>
      </c>
    </row>
    <row r="47" ht="25.5" customHeight="1" s="225">
      <c r="B47" s="293">
        <f>'A3 INHERENTE'!B39</f>
        <v/>
      </c>
      <c r="C47" s="277">
        <f>'A3 INHERENTE'!C39</f>
        <v/>
      </c>
      <c r="D47" s="292">
        <f>'A3 INHERENTE'!F39</f>
        <v/>
      </c>
      <c r="E47" s="320">
        <f>IF($D47="N/A","",$F$8)</f>
        <v/>
      </c>
      <c r="F47" s="292">
        <f>IF($D47="N/A","N/A",D47*(1-E47))</f>
        <v/>
      </c>
      <c r="G47" s="293">
        <f>IF($D47="N/A","No aplica",IF($D47=0,"SIN EVALUAR",IFERROR(INDEX(PARAMETROS!$E$15:$E$19,MATCH(F47,PARAMETROS!$B$15:$B$19,1)),"")))</f>
        <v/>
      </c>
      <c r="H47" s="291">
        <f>IF(OR($D47="N/A",$G47=""),"",IFERROR(IF(MATCH($G47,PARAMETROS!$E$15:$E$19,0)&gt;MATCH(PARAMETROS!$C$25,PARAMETROS!$E$15:$E$19,0),"Plan de acción / mitigar","Aceptable / monitorear"),"Declara el nivel de tolerancia en PARÁMETROS C25"))</f>
        <v/>
      </c>
      <c r="I47" s="335">
        <f>IF($D47="N/A",-1,F47+(49-ROW())/100000)</f>
        <v/>
      </c>
    </row>
    <row r="48" ht="25.5" customHeight="1" s="225">
      <c r="B48" s="293">
        <f>'A3 INHERENTE'!B40</f>
        <v/>
      </c>
      <c r="C48" s="277">
        <f>'A3 INHERENTE'!C40</f>
        <v/>
      </c>
      <c r="D48" s="292">
        <f>'A3 INHERENTE'!F40</f>
        <v/>
      </c>
      <c r="E48" s="320">
        <f>IF($D48="N/A","",$F$8)</f>
        <v/>
      </c>
      <c r="F48" s="292">
        <f>IF($D48="N/A","N/A",D48*(1-E48))</f>
        <v/>
      </c>
      <c r="G48" s="293">
        <f>IF($D48="N/A","No aplica",IF($D48=0,"SIN EVALUAR",IFERROR(INDEX(PARAMETROS!$E$15:$E$19,MATCH(F48,PARAMETROS!$B$15:$B$19,1)),"")))</f>
        <v/>
      </c>
      <c r="H48" s="291">
        <f>IF(OR($D48="N/A",$G48=""),"",IFERROR(IF(MATCH($G48,PARAMETROS!$E$15:$E$19,0)&gt;MATCH(PARAMETROS!$C$25,PARAMETROS!$E$15:$E$19,0),"Plan de acción / mitigar","Aceptable / monitorear"),"Declara el nivel de tolerancia en PARÁMETROS C25"))</f>
        <v/>
      </c>
      <c r="I48" s="335">
        <f>IF($D48="N/A",-1,F48+(49-ROW())/100000)</f>
        <v/>
      </c>
    </row>
    <row r="50" ht="15" customHeight="1" s="225">
      <c r="B50" s="256" t="inlineStr">
        <is>
          <t>La columna «Orden» solo sirve para ordenar el top 5 del tablero sin empates. No es un dato de la metodología.</t>
        </is>
      </c>
    </row>
    <row r="51" ht="15" customHeight="1" s="225">
      <c r="B51" s="256" t="inlineStr">
        <is>
          <t>Los tres niveles usan la misma reducción porque los mitigantes se evaluaron a nivel de la entidad. Si en el futuro se documenta la efectividad por elemento o por indicador, basta sustituir la referencia de la columna «Reducción» en el bloque correspondiente.</t>
        </is>
      </c>
    </row>
  </sheetData>
  <mergeCells count="7">
    <mergeCell ref="B22:H22"/>
    <mergeCell ref="B8:E8"/>
    <mergeCell ref="B6:E6"/>
    <mergeCell ref="B7:E7"/>
    <mergeCell ref="B15:H15"/>
    <mergeCell ref="B11:H11"/>
    <mergeCell ref="B5:H5"/>
  </mergeCells>
  <conditionalFormatting sqref="G13">
    <cfRule type="expression" rank="0" priority="2" equalAverage="0" aboveAverage="0" dxfId="2" text="" percent="0" bottom="0">
      <formula>EXACT(G13,"BAJO")</formula>
    </cfRule>
    <cfRule type="expression" rank="0" priority="3" equalAverage="0" aboveAverage="0" dxfId="3" text="" percent="0" bottom="0">
      <formula>EXACT(G13,"MEDIO BAJO")</formula>
    </cfRule>
    <cfRule type="expression" rank="0" priority="4" equalAverage="0" aboveAverage="0" dxfId="4" text="" percent="0" bottom="0">
      <formula>EXACT(G13,"MEDIO")</formula>
    </cfRule>
    <cfRule type="expression" rank="0" priority="5" equalAverage="0" aboveAverage="0" dxfId="5" text="" percent="0" bottom="0">
      <formula>EXACT(G13,"MEDIO ALTO")</formula>
    </cfRule>
    <cfRule type="expression" rank="0" priority="6" equalAverage="0" aboveAverage="0" dxfId="6" text="" percent="0" bottom="0">
      <formula>EXACT(G13,"ALTO")</formula>
    </cfRule>
  </conditionalFormatting>
  <conditionalFormatting sqref="G17:G20">
    <cfRule type="expression" rank="0" priority="7" equalAverage="0" aboveAverage="0" dxfId="2" text="" percent="0" bottom="0">
      <formula>EXACT(G17,"BAJO")</formula>
    </cfRule>
    <cfRule type="expression" rank="0" priority="8" equalAverage="0" aboveAverage="0" dxfId="3" text="" percent="0" bottom="0">
      <formula>EXACT(G17,"MEDIO BAJO")</formula>
    </cfRule>
    <cfRule type="expression" rank="0" priority="9" equalAverage="0" aboveAverage="0" dxfId="4" text="" percent="0" bottom="0">
      <formula>EXACT(G17,"MEDIO")</formula>
    </cfRule>
    <cfRule type="expression" rank="0" priority="10" equalAverage="0" aboveAverage="0" dxfId="5" text="" percent="0" bottom="0">
      <formula>EXACT(G17,"MEDIO ALTO")</formula>
    </cfRule>
    <cfRule type="expression" rank="0" priority="11" equalAverage="0" aboveAverage="0" dxfId="6" text="" percent="0" bottom="0">
      <formula>EXACT(G17,"ALTO")</formula>
    </cfRule>
  </conditionalFormatting>
  <conditionalFormatting sqref="G24:G48">
    <cfRule type="expression" rank="0" priority="12" equalAverage="0" aboveAverage="0" dxfId="2" text="" percent="0" bottom="0">
      <formula>EXACT(G24,"BAJO")</formula>
    </cfRule>
    <cfRule type="expression" rank="0" priority="13" equalAverage="0" aboveAverage="0" dxfId="3" text="" percent="0" bottom="0">
      <formula>EXACT(G24,"MEDIO BAJO")</formula>
    </cfRule>
    <cfRule type="expression" rank="0" priority="14" equalAverage="0" aboveAverage="0" dxfId="4" text="" percent="0" bottom="0">
      <formula>EXACT(G24,"MEDIO")</formula>
    </cfRule>
    <cfRule type="expression" rank="0" priority="15" equalAverage="0" aboveAverage="0" dxfId="5" text="" percent="0" bottom="0">
      <formula>EXACT(G24,"MEDIO ALTO")</formula>
    </cfRule>
    <cfRule type="expression" rank="0" priority="16" equalAverage="0" aboveAverage="0" dxfId="6" text="" percent="0" bottom="0">
      <formula>EXACT(G24,"ALTO")</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548235"/>
    <outlinePr summaryBelow="1" summaryRight="1"/>
    <pageSetUpPr fitToPage="0"/>
  </sheetPr>
  <dimension ref="B2:G4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224" min="1" max="1"/>
    <col width="46" customWidth="1" style="224" min="2" max="2"/>
    <col width="16" customWidth="1" style="224" min="3" max="4"/>
    <col width="26" customWidth="1" style="224" min="5" max="5"/>
    <col width="14" customWidth="1" style="224" min="6" max="6"/>
    <col width="16" customWidth="1" style="224" min="7" max="7"/>
  </cols>
  <sheetData>
    <row r="2" ht="21.75" customHeight="1" s="225">
      <c r="B2" s="227" t="inlineStr">
        <is>
          <t>A6 · TABLERO — Resumen ejecutivo</t>
        </is>
      </c>
    </row>
    <row r="3" ht="15" customHeight="1" s="225">
      <c r="B3" s="230" t="inlineStr">
        <is>
          <t>Paso 8 de 10  ·  Se calcula solo  ·  Sigue: A8 TOLERANCIA</t>
        </is>
      </c>
    </row>
    <row r="4" ht="15" customHeight="1" s="225">
      <c r="B4" s="241" t="inlineStr">
        <is>
          <t>Actividad Vulnerable:</t>
        </is>
      </c>
      <c r="C4" s="336">
        <f>INICIO!C18</f>
        <v/>
      </c>
      <c r="D4" s="232" t="n"/>
      <c r="E4" s="232" t="n"/>
      <c r="F4" s="233" t="n"/>
    </row>
    <row r="5" ht="15" customHeight="1" s="225">
      <c r="B5" s="241" t="inlineStr">
        <is>
          <t>Entidad:</t>
        </is>
      </c>
      <c r="C5" s="336">
        <f>IF(INICIO!$C$24="","(captura la razón social en INICIO)",INICIO!$C$24)</f>
        <v/>
      </c>
      <c r="D5" s="232" t="n"/>
      <c r="E5" s="232" t="n"/>
      <c r="F5" s="233" t="n"/>
    </row>
    <row r="6" ht="15" customHeight="1" s="225">
      <c r="B6" s="241" t="inlineStr">
        <is>
          <t>Fecha de evaluación:</t>
        </is>
      </c>
      <c r="C6" s="337">
        <f>IF(INICIO!$C$27="","(captura la fecha en INICIO)",INICIO!$C$27)</f>
        <v/>
      </c>
      <c r="D6" s="232" t="n"/>
      <c r="E6" s="232" t="n"/>
      <c r="F6" s="233" t="n"/>
    </row>
    <row r="8" ht="15" customHeight="1" s="225">
      <c r="B8" s="231" t="inlineStr">
        <is>
          <t>RIESGO INHERENTE DE LA ENTIDAD</t>
        </is>
      </c>
      <c r="C8" s="232" t="n"/>
      <c r="D8" s="233" t="n"/>
      <c r="E8" s="231" t="inlineStr">
        <is>
          <t>RIESGO RESIDUAL DE LA ENTIDAD</t>
        </is>
      </c>
      <c r="F8" s="232" t="n"/>
      <c r="G8" s="233" t="n"/>
    </row>
    <row r="9" ht="15" customHeight="1" s="225">
      <c r="B9" s="338">
        <f>'A3 INHERENTE'!F12</f>
        <v/>
      </c>
      <c r="C9" s="339" t="n"/>
      <c r="D9" s="340" t="n"/>
      <c r="E9" s="338">
        <f>'A5 RESIDUAL'!$G$13</f>
        <v/>
      </c>
      <c r="F9" s="339" t="n"/>
      <c r="G9" s="340" t="n"/>
    </row>
    <row r="10" ht="15" customHeight="1" s="225">
      <c r="B10" s="341" t="n"/>
      <c r="C10" s="342" t="n"/>
      <c r="D10" s="343" t="n"/>
      <c r="E10" s="341" t="n"/>
      <c r="F10" s="342" t="n"/>
      <c r="G10" s="343" t="n"/>
    </row>
    <row r="13" ht="15" customHeight="1" s="225">
      <c r="B13" s="231" t="inlineStr">
        <is>
          <t>DETALLE POR ELEMENTO</t>
        </is>
      </c>
      <c r="C13" s="232" t="n"/>
      <c r="D13" s="232" t="n"/>
      <c r="E13" s="233" t="n"/>
    </row>
    <row r="14" ht="15" customHeight="1" s="225">
      <c r="B14" s="344" t="inlineStr">
        <is>
          <t>Elemento</t>
        </is>
      </c>
      <c r="C14" s="344" t="inlineStr">
        <is>
          <t>Inherente</t>
        </is>
      </c>
      <c r="D14" s="344" t="inlineStr">
        <is>
          <t>Residual</t>
        </is>
      </c>
      <c r="E14" s="344" t="inlineStr">
        <is>
          <t>Tratamiento</t>
        </is>
      </c>
    </row>
    <row r="15" ht="15" customHeight="1" s="225">
      <c r="B15" s="345" t="inlineStr">
        <is>
          <t>1. Actos u operaciones</t>
        </is>
      </c>
      <c r="C15" s="346">
        <f>'A3 INHERENTE'!F7</f>
        <v/>
      </c>
      <c r="D15" s="346">
        <f>'A5 RESIDUAL'!G17</f>
        <v/>
      </c>
      <c r="E15" s="336">
        <f>'A5 RESIDUAL'!H17</f>
        <v/>
      </c>
    </row>
    <row r="16" ht="15" customHeight="1" s="225">
      <c r="B16" s="345" t="inlineStr">
        <is>
          <t>2. Clientes / Usuarios</t>
        </is>
      </c>
      <c r="C16" s="346">
        <f>'A3 INHERENTE'!F8</f>
        <v/>
      </c>
      <c r="D16" s="346">
        <f>'A5 RESIDUAL'!G18</f>
        <v/>
      </c>
      <c r="E16" s="336">
        <f>'A5 RESIDUAL'!H18</f>
        <v/>
      </c>
    </row>
    <row r="17" ht="15" customHeight="1" s="225">
      <c r="B17" s="345" t="inlineStr">
        <is>
          <t>3. Países y áreas geográficas</t>
        </is>
      </c>
      <c r="C17" s="346">
        <f>'A3 INHERENTE'!F9</f>
        <v/>
      </c>
      <c r="D17" s="346">
        <f>'A5 RESIDUAL'!G19</f>
        <v/>
      </c>
      <c r="E17" s="336">
        <f>'A5 RESIDUAL'!H19</f>
        <v/>
      </c>
    </row>
    <row r="18" ht="15" customHeight="1" s="225">
      <c r="B18" s="345" t="inlineStr">
        <is>
          <t>4. Transacciones y canales</t>
        </is>
      </c>
      <c r="C18" s="346">
        <f>'A3 INHERENTE'!F10</f>
        <v/>
      </c>
      <c r="D18" s="346">
        <f>'A5 RESIDUAL'!G20</f>
        <v/>
      </c>
      <c r="E18" s="336">
        <f>'A5 RESIDUAL'!H20</f>
        <v/>
      </c>
    </row>
    <row r="20" ht="15" customHeight="1" s="225">
      <c r="B20" s="228" t="inlineStr">
        <is>
          <t>Vigencia: revisar y actualizar al menos cada 12 meses o al actualizarse la ENR (Art. 10 Septies 3). Conservar 10 años.</t>
        </is>
      </c>
    </row>
    <row r="22" ht="21" customHeight="1" s="225">
      <c r="B22" s="272" t="inlineStr">
        <is>
          <t>CONSECUENCIAS DEL RESULTADO</t>
        </is>
      </c>
    </row>
    <row r="23" ht="30" customHeight="1" s="225">
      <c r="B23" s="347" t="inlineStr">
        <is>
          <t>Régimen de auditoría (Cap. XIV RCG)</t>
        </is>
      </c>
      <c r="C23" s="348">
        <f>IF(OR('A5 RESIDUAL'!$G$13="ALTO",'A5 RESIDUAL'!$G$13="MEDIO ALTO"),("Riesgo alto: el dictamen debe emitirlo una persona auditora externa independiente con certificación vigente de la UIF (Art. 45, inciso b, con el Art. 34 Bis). CRITERIO: los Arts. 44 y 45 sólo emplean tres términos, bajo, medio y alto. La banda MEDIO "&amp;"ALTO es de este modelo, no de la norma, y aquí se reporta como alto. Es criterio conservador y debe quedar escrito en tu metodología."),("Riesgo bajo o medio: el dictamen puede emitirlo tu área de auditoría interna o de control interno (Art. 44), integrada por personal independiente de la Representante Encargada de Cumplimiento. Y ojo: el Art. 45 permite optar por auditor externo aunqu"&amp;"e tu riesgo sea bajo o medio, cuando así lo elija quien realiza la Actividad Vulnerable."))</f>
        <v/>
      </c>
    </row>
    <row r="24" ht="61.5" customHeight="1" s="225">
      <c r="B24" s="347" t="inlineStr">
        <is>
          <t>Medidas simplificadas (Art. 15 del Reglamento + Art. 17 de las Reglas)</t>
        </is>
      </c>
      <c r="C24" s="348">
        <f>IF('A5 RESIDUAL'!$G$13="BAJO",("Tu entidad cumple la condición del Art. 15 del Reglamento: bajo riesgo conforme a la evaluación del Art. 18 fr. VII de la Ley. Pero ésa es sólo UNA de las dos condiciones. El Art. 17 de las Reglas exige además que el Cliente esté clasificado como de "&amp;"bajo Riesgo conforme al Capítulo III Bis. Las dos deben cumplirse: ver hoja B CLIENTE."),"Tu nivel no cumple la condición del Art. 15 del Reglamento, de modo que no proceden las medidas simplificadas con ningún Cliente. El expediente de cada Cliente se define por su Grado de Riesgo en la hoja B CLIENTE (Arts. 12, 17 y 17 Bis de las Reglas).")</f>
        <v/>
      </c>
    </row>
    <row r="25" ht="30" customHeight="1" s="225">
      <c r="B25" s="347" t="inlineStr">
        <is>
          <t>Tolerancia (PARÁMETROS, celda C25)</t>
        </is>
      </c>
      <c r="C25" s="348">
        <f>IFERROR(IF(MATCH('A5 RESIDUAL'!$G$13,PARAMETROS!$E$15:$E$19,0)&gt;MATCH(PARAMETROS!$C$25,PARAMETROS!$E$15:$E$19,0),"FUERA de la tolerancia declarada. Se requiere plan de acción con responsable y fecha (ver hoja A8).","DENTRO de la tolerancia declarada. Mantener monitoreo y evidencia."),"Falta declarar el nivel de tolerancia en PARÁMETROS, celda C25.")</f>
        <v/>
      </c>
    </row>
    <row r="26" ht="30" customHeight="1" s="225">
      <c r="B26" s="347" t="inlineStr">
        <is>
          <t>Vigencia (Art. 10 Septies 2 y 10 Septies 3)</t>
        </is>
      </c>
      <c r="C26" s="348">
        <f>IF(INICIO!$C$27="","Captura la fecha de la evaluación en INICIO para calcular la fecha límite de revisión.","Revisión obligatoria a más tardar en "&amp;CHOOSE(MONTH(EDATE(INICIO!$C$27,12)),"enero","febrero","marzo","abril","mayo","junio","julio","agosto","septiembre","octubre","noviembre","diciembre")&amp;" de "&amp;YEAR(EDATE(INICIO!$C$27,12))&amp;". La metodología debe constar por escrito y conservarse 10 años.")</f>
        <v/>
      </c>
    </row>
    <row r="28" ht="21" customHeight="1" s="225">
      <c r="B28" s="272" t="inlineStr">
        <is>
          <t>LOS 5 INDICADORES CON MAYOR RIESGO RESIDUAL</t>
        </is>
      </c>
    </row>
    <row r="29" ht="15" customHeight="1" s="225">
      <c r="B29" s="231" t="inlineStr">
        <is>
          <t>Indicador</t>
        </is>
      </c>
      <c r="C29" s="231" t="inlineStr">
        <is>
          <t>Riesgo resid.</t>
        </is>
      </c>
      <c r="D29" s="231" t="inlineStr">
        <is>
          <t>Nivel</t>
        </is>
      </c>
    </row>
    <row r="30" ht="25.5" customHeight="1" s="225">
      <c r="B30" s="277">
        <f>IFERROR("#"&amp;INDEX('A5 RESIDUAL'!$B$24:$B$48,MATCH(LARGE('A5 RESIDUAL'!$I$24:$I$48,1),'A5 RESIDUAL'!$I$24:$I$48,0))&amp;" · "&amp;INDEX('A5 RESIDUAL'!$C$24:$C$48,MATCH(LARGE('A5 RESIDUAL'!$I$24:$I$48,1),'A5 RESIDUAL'!$I$24:$I$48,0)),"")</f>
        <v/>
      </c>
      <c r="C30" s="292">
        <f>IFERROR(INDEX('A5 RESIDUAL'!$F$24:$F$48,MATCH(LARGE('A5 RESIDUAL'!$I$24:$I$48,1),'A5 RESIDUAL'!$I$24:$I$48,0)),"")</f>
        <v/>
      </c>
      <c r="D30" s="293">
        <f>IFERROR(INDEX('A5 RESIDUAL'!$G$24:$G$48,MATCH(LARGE('A5 RESIDUAL'!$I$24:$I$48,1),'A5 RESIDUAL'!$I$24:$I$48,0)),"")</f>
        <v/>
      </c>
    </row>
    <row r="31" ht="25.5" customHeight="1" s="225">
      <c r="B31" s="277">
        <f>IFERROR("#"&amp;INDEX('A5 RESIDUAL'!$B$24:$B$48,MATCH(LARGE('A5 RESIDUAL'!$I$24:$I$48,2),'A5 RESIDUAL'!$I$24:$I$48,0))&amp;" · "&amp;INDEX('A5 RESIDUAL'!$C$24:$C$48,MATCH(LARGE('A5 RESIDUAL'!$I$24:$I$48,2),'A5 RESIDUAL'!$I$24:$I$48,0)),"")</f>
        <v/>
      </c>
      <c r="C31" s="292">
        <f>IFERROR(INDEX('A5 RESIDUAL'!$F$24:$F$48,MATCH(LARGE('A5 RESIDUAL'!$I$24:$I$48,2),'A5 RESIDUAL'!$I$24:$I$48,0)),"")</f>
        <v/>
      </c>
      <c r="D31" s="293">
        <f>IFERROR(INDEX('A5 RESIDUAL'!$G$24:$G$48,MATCH(LARGE('A5 RESIDUAL'!$I$24:$I$48,2),'A5 RESIDUAL'!$I$24:$I$48,0)),"")</f>
        <v/>
      </c>
    </row>
    <row r="32" ht="25.5" customHeight="1" s="225">
      <c r="B32" s="277">
        <f>IFERROR("#"&amp;INDEX('A5 RESIDUAL'!$B$24:$B$48,MATCH(LARGE('A5 RESIDUAL'!$I$24:$I$48,3),'A5 RESIDUAL'!$I$24:$I$48,0))&amp;" · "&amp;INDEX('A5 RESIDUAL'!$C$24:$C$48,MATCH(LARGE('A5 RESIDUAL'!$I$24:$I$48,3),'A5 RESIDUAL'!$I$24:$I$48,0)),"")</f>
        <v/>
      </c>
      <c r="C32" s="292">
        <f>IFERROR(INDEX('A5 RESIDUAL'!$F$24:$F$48,MATCH(LARGE('A5 RESIDUAL'!$I$24:$I$48,3),'A5 RESIDUAL'!$I$24:$I$48,0)),"")</f>
        <v/>
      </c>
      <c r="D32" s="293">
        <f>IFERROR(INDEX('A5 RESIDUAL'!$G$24:$G$48,MATCH(LARGE('A5 RESIDUAL'!$I$24:$I$48,3),'A5 RESIDUAL'!$I$24:$I$48,0)),"")</f>
        <v/>
      </c>
    </row>
    <row r="33" ht="25.5" customHeight="1" s="225">
      <c r="B33" s="277">
        <f>IFERROR("#"&amp;INDEX('A5 RESIDUAL'!$B$24:$B$48,MATCH(LARGE('A5 RESIDUAL'!$I$24:$I$48,4),'A5 RESIDUAL'!$I$24:$I$48,0))&amp;" · "&amp;INDEX('A5 RESIDUAL'!$C$24:$C$48,MATCH(LARGE('A5 RESIDUAL'!$I$24:$I$48,4),'A5 RESIDUAL'!$I$24:$I$48,0)),"")</f>
        <v/>
      </c>
      <c r="C33" s="292">
        <f>IFERROR(INDEX('A5 RESIDUAL'!$F$24:$F$48,MATCH(LARGE('A5 RESIDUAL'!$I$24:$I$48,4),'A5 RESIDUAL'!$I$24:$I$48,0)),"")</f>
        <v/>
      </c>
      <c r="D33" s="293">
        <f>IFERROR(INDEX('A5 RESIDUAL'!$G$24:$G$48,MATCH(LARGE('A5 RESIDUAL'!$I$24:$I$48,4),'A5 RESIDUAL'!$I$24:$I$48,0)),"")</f>
        <v/>
      </c>
    </row>
    <row r="34" ht="25.5" customHeight="1" s="225">
      <c r="B34" s="277">
        <f>IFERROR("#"&amp;INDEX('A5 RESIDUAL'!$B$24:$B$48,MATCH(LARGE('A5 RESIDUAL'!$I$24:$I$48,5),'A5 RESIDUAL'!$I$24:$I$48,0))&amp;" · "&amp;INDEX('A5 RESIDUAL'!$C$24:$C$48,MATCH(LARGE('A5 RESIDUAL'!$I$24:$I$48,5),'A5 RESIDUAL'!$I$24:$I$48,0)),"")</f>
        <v/>
      </c>
      <c r="C34" s="292">
        <f>IFERROR(INDEX('A5 RESIDUAL'!$F$24:$F$48,MATCH(LARGE('A5 RESIDUAL'!$I$24:$I$48,5),'A5 RESIDUAL'!$I$24:$I$48,0)),"")</f>
        <v/>
      </c>
      <c r="D34" s="293">
        <f>IFERROR(INDEX('A5 RESIDUAL'!$G$24:$G$48,MATCH(LARGE('A5 RESIDUAL'!$I$24:$I$48,5),'A5 RESIDUAL'!$I$24:$I$48,0)),"")</f>
        <v/>
      </c>
    </row>
    <row r="35" ht="15" customHeight="1" s="225">
      <c r="B35" s="256" t="inlineStr">
        <is>
          <t>Estos son los indicadores por los que empieza el plan de acción de la hoja A8: son los que más aportan al resultado y los primeros que la autoridad va a preguntar.</t>
        </is>
      </c>
    </row>
    <row r="37" ht="15" customHeight="1" s="225">
      <c r="B37" s="248" t="inlineStr">
        <is>
          <t>COBERTURA DEL CATÁLOGO DE CONTROLES MÍNIMOS (Art. 37 Bis)</t>
        </is>
      </c>
    </row>
    <row r="38" ht="15" customHeight="1" s="225">
      <c r="B38" s="250" t="inlineStr">
        <is>
          <t>Efectividad de los mitigantes (obligaciones cubiertas):</t>
        </is>
      </c>
      <c r="C38" s="349">
        <f>'A4 CONTROLES MINIMOS'!$F$28</f>
        <v/>
      </c>
    </row>
    <row r="39" ht="15" customHeight="1" s="225">
      <c r="B39" s="250" t="inlineStr">
        <is>
          <t>Reducción aplicada al riesgo inherente:</t>
        </is>
      </c>
      <c r="C39" s="349">
        <f>'A4 CONTROLES MINIMOS'!$F$30</f>
        <v/>
      </c>
    </row>
    <row r="40" ht="15" customHeight="1" s="225">
      <c r="B40" s="250" t="inlineStr">
        <is>
          <t>Obligaciones en «No cumple»:</t>
        </is>
      </c>
      <c r="C40" s="350">
        <f>'A4 CONTROLES MINIMOS'!$F$33</f>
        <v/>
      </c>
    </row>
    <row r="41" ht="15" customHeight="1" s="225">
      <c r="B41" s="250" t="inlineStr">
        <is>
          <t>Obligaciones sin calificar:</t>
        </is>
      </c>
      <c r="C41" s="350">
        <f>'A4 CONTROLES MINIMOS'!$F$36</f>
        <v/>
      </c>
    </row>
    <row r="42" ht="15" customHeight="1" s="225">
      <c r="B42" s="254">
        <f>IF('A4 CONTROLES MINIMOS'!$F$33&gt;0,"Hay obligaciones del Manual en «No cumple». Antes de discutir el nivel de riesgo, atiende eso: el Art. 48 fr. IV lo define como incumplimiento que puede actualizar una sanción.",IF('A4 CONTROLES MINIMOS'!$F$36&gt;0,"Faltan obligaciones por calificar en el catálogo: mientras tanto computan 0% y el residual sale más alto de lo real.","Catálogo completo y sin incumplimientos declarados."))</f>
        <v/>
      </c>
    </row>
  </sheetData>
  <mergeCells count="15">
    <mergeCell ref="B20:G20"/>
    <mergeCell ref="B28:G28"/>
    <mergeCell ref="B22:G22"/>
    <mergeCell ref="C4:F4"/>
    <mergeCell ref="B13:E13"/>
    <mergeCell ref="B8:D8"/>
    <mergeCell ref="C24:G24"/>
    <mergeCell ref="E8:G8"/>
    <mergeCell ref="C25:G25"/>
    <mergeCell ref="C6:F6"/>
    <mergeCell ref="B9:D10"/>
    <mergeCell ref="E9:G10"/>
    <mergeCell ref="C23:G23"/>
    <mergeCell ref="C5:F5"/>
    <mergeCell ref="C26:G26"/>
  </mergeCells>
  <conditionalFormatting sqref="B9">
    <cfRule type="expression" rank="0" priority="2" equalAverage="0" aboveAverage="0" dxfId="2" text="" percent="0" bottom="0">
      <formula>EXACT(B9,"BAJO")</formula>
    </cfRule>
    <cfRule type="expression" rank="0" priority="3" equalAverage="0" aboveAverage="0" dxfId="3" text="" percent="0" bottom="0">
      <formula>EXACT(B9,"MEDIO BAJO")</formula>
    </cfRule>
    <cfRule type="expression" rank="0" priority="4" equalAverage="0" aboveAverage="0" dxfId="4" text="" percent="0" bottom="0">
      <formula>EXACT(B9,"MEDIO")</formula>
    </cfRule>
    <cfRule type="expression" rank="0" priority="5" equalAverage="0" aboveAverage="0" dxfId="5" text="" percent="0" bottom="0">
      <formula>EXACT(B9,"MEDIO ALTO")</formula>
    </cfRule>
    <cfRule type="expression" rank="0" priority="6" equalAverage="0" aboveAverage="0" dxfId="6" text="" percent="0" bottom="0">
      <formula>EXACT(B9,"ALTO")</formula>
    </cfRule>
  </conditionalFormatting>
  <conditionalFormatting sqref="E9">
    <cfRule type="expression" rank="0" priority="7" equalAverage="0" aboveAverage="0" dxfId="2" text="" percent="0" bottom="0">
      <formula>EXACT(E9,"BAJO")</formula>
    </cfRule>
    <cfRule type="expression" rank="0" priority="8" equalAverage="0" aboveAverage="0" dxfId="3" text="" percent="0" bottom="0">
      <formula>EXACT(E9,"MEDIO BAJO")</formula>
    </cfRule>
    <cfRule type="expression" rank="0" priority="9" equalAverage="0" aboveAverage="0" dxfId="4" text="" percent="0" bottom="0">
      <formula>EXACT(E9,"MEDIO")</formula>
    </cfRule>
    <cfRule type="expression" rank="0" priority="10" equalAverage="0" aboveAverage="0" dxfId="5" text="" percent="0" bottom="0">
      <formula>EXACT(E9,"MEDIO ALTO")</formula>
    </cfRule>
    <cfRule type="expression" rank="0" priority="11" equalAverage="0" aboveAverage="0" dxfId="6" text="" percent="0" bottom="0">
      <formula>EXACT(E9,"ALTO")</formula>
    </cfRule>
  </conditionalFormatting>
  <conditionalFormatting sqref="C15:C18">
    <cfRule type="expression" rank="0" priority="12" equalAverage="0" aboveAverage="0" dxfId="2" text="" percent="0" bottom="0">
      <formula>EXACT(C15,"BAJO")</formula>
    </cfRule>
    <cfRule type="expression" rank="0" priority="13" equalAverage="0" aboveAverage="0" dxfId="3" text="" percent="0" bottom="0">
      <formula>EXACT(C15,"MEDIO BAJO")</formula>
    </cfRule>
    <cfRule type="expression" rank="0" priority="14" equalAverage="0" aboveAverage="0" dxfId="4" text="" percent="0" bottom="0">
      <formula>EXACT(C15,"MEDIO")</formula>
    </cfRule>
    <cfRule type="expression" rank="0" priority="15" equalAverage="0" aboveAverage="0" dxfId="5" text="" percent="0" bottom="0">
      <formula>EXACT(C15,"MEDIO ALTO")</formula>
    </cfRule>
    <cfRule type="expression" rank="0" priority="16" equalAverage="0" aboveAverage="0" dxfId="6" text="" percent="0" bottom="0">
      <formula>EXACT(C15,"ALTO")</formula>
    </cfRule>
  </conditionalFormatting>
  <conditionalFormatting sqref="D15:D18">
    <cfRule type="expression" rank="0" priority="17" equalAverage="0" aboveAverage="0" dxfId="2" text="" percent="0" bottom="0">
      <formula>EXACT(D15,"BAJO")</formula>
    </cfRule>
    <cfRule type="expression" rank="0" priority="18" equalAverage="0" aboveAverage="0" dxfId="3" text="" percent="0" bottom="0">
      <formula>EXACT(D15,"MEDIO BAJO")</formula>
    </cfRule>
    <cfRule type="expression" rank="0" priority="19" equalAverage="0" aboveAverage="0" dxfId="4" text="" percent="0" bottom="0">
      <formula>EXACT(D15,"MEDIO")</formula>
    </cfRule>
    <cfRule type="expression" rank="0" priority="20" equalAverage="0" aboveAverage="0" dxfId="5" text="" percent="0" bottom="0">
      <formula>EXACT(D15,"MEDIO ALTO")</formula>
    </cfRule>
    <cfRule type="expression" rank="0" priority="21" equalAverage="0" aboveAverage="0" dxfId="6" text="" percent="0" bottom="0">
      <formula>EXACT(D15,"ALTO")</formula>
    </cfRule>
  </conditionalFormatting>
  <conditionalFormatting sqref="D30:D34">
    <cfRule type="expression" rank="0" priority="22" equalAverage="0" aboveAverage="0" dxfId="2" text="" percent="0" bottom="0">
      <formula>EXACT(D30,"BAJO")</formula>
    </cfRule>
    <cfRule type="expression" rank="0" priority="23" equalAverage="0" aboveAverage="0" dxfId="3" text="" percent="0" bottom="0">
      <formula>EXACT(D30,"MEDIO BAJO")</formula>
    </cfRule>
    <cfRule type="expression" rank="0" priority="24" equalAverage="0" aboveAverage="0" dxfId="4" text="" percent="0" bottom="0">
      <formula>EXACT(D30,"MEDIO")</formula>
    </cfRule>
    <cfRule type="expression" rank="0" priority="25" equalAverage="0" aboveAverage="0" dxfId="5" text="" percent="0" bottom="0">
      <formula>EXACT(D30,"MEDIO ALTO")</formula>
    </cfRule>
    <cfRule type="expression" rank="0" priority="26" equalAverage="0" aboveAverage="0" dxfId="6" text="" percent="0" bottom="0">
      <formula>EXACT(D30,"ALTO")</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FFC000"/>
    <outlinePr summaryBelow="1" summaryRight="1"/>
    <pageSetUpPr fitToPage="0"/>
  </sheetPr>
  <dimension ref="B2:L21"/>
  <sheetViews>
    <sheetView showFormulas="0" showGridLines="0" showRowColHeaders="1" showZeros="1" rightToLeft="0" tabSelected="0" showOutlineSymbols="1" defaultGridColor="1"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baseColWidth="8" defaultColWidth="8.6796875" defaultRowHeight="15" zeroHeight="0" outlineLevelRow="0"/>
  <cols>
    <col width="2" customWidth="1" style="224" min="1" max="1"/>
    <col width="5" customWidth="1" style="224" min="2" max="2"/>
    <col width="26" customWidth="1" style="224" min="3" max="3"/>
    <col width="14" customWidth="1" style="224" min="4" max="4"/>
    <col width="12" customWidth="1" style="224" min="5" max="9"/>
    <col width="14" customWidth="1" style="224" min="10" max="10"/>
    <col width="34" customWidth="1" style="224" min="11" max="11"/>
    <col width="22" customWidth="1" style="224" min="12" max="12"/>
  </cols>
  <sheetData>
    <row r="2" ht="21.75" customHeight="1" s="225">
      <c r="B2" s="255" t="inlineStr">
        <is>
          <t>A7 · EVALUACIÓN PREVIA DE NUEVOS PRODUCTOS, SERVICIOS Y CANALES</t>
        </is>
      </c>
    </row>
    <row r="3" ht="15" customHeight="1" s="225">
      <c r="B3" s="256" t="inlineStr">
        <is>
          <t>Art. 10 Septies, tercer párrafo: antes de lanzar un nuevo medio, canal, modalidad, producto, servicio o tipo de Cliente, evalúa el riesgo. Una ficha por lanzamiento. Esta hoja no altera el resultado de A1; es evidencia y decisión previa.</t>
        </is>
      </c>
    </row>
    <row r="4" ht="15" customHeight="1" s="225">
      <c r="B4" s="230" t="inlineStr">
        <is>
          <t>Fuera de secuencia: se llena ANTES de cada lanzamiento (Art. 10 Septies, 3er párrafo)</t>
        </is>
      </c>
    </row>
    <row r="6" ht="42" customHeight="1" s="225">
      <c r="B6" s="231" t="inlineStr">
        <is>
          <t>#</t>
        </is>
      </c>
      <c r="C6" s="231" t="inlineStr">
        <is>
          <t>Nuevo producto, servicio, canal o tipo de Cliente</t>
        </is>
      </c>
      <c r="D6" s="231" t="inlineStr">
        <is>
          <t>Fecha prevista de lanzamiento</t>
        </is>
      </c>
      <c r="E6" s="231" t="inlineStr">
        <is>
          <t>Riesgo elem. 1</t>
        </is>
      </c>
      <c r="F6" s="231" t="inlineStr">
        <is>
          <t>Riesgo elem. 2</t>
        </is>
      </c>
      <c r="G6" s="231" t="inlineStr">
        <is>
          <t>Riesgo elem. 3</t>
        </is>
      </c>
      <c r="H6" s="231" t="inlineStr">
        <is>
          <t>Riesgo elem. 4</t>
        </is>
      </c>
      <c r="I6" s="231" t="inlineStr">
        <is>
          <t>Riesgo previo</t>
        </is>
      </c>
      <c r="J6" s="231" t="inlineStr">
        <is>
          <t>Nivel</t>
        </is>
      </c>
      <c r="K6" s="231" t="inlineStr">
        <is>
          <t>Controles previos comprometidos</t>
        </is>
      </c>
      <c r="L6" s="231" t="inlineStr">
        <is>
          <t>Decisión</t>
        </is>
      </c>
    </row>
    <row r="7" ht="31.5" customHeight="1" s="225">
      <c r="B7" s="267" t="n">
        <v>1</v>
      </c>
      <c r="C7" s="351" t="inlineStr">
        <is>
          <t>Cobro con transferencia SPEI desde cuenta de tercero no declarado en el expediente, solicitado por dos desarrolladoras para agilizar el enganche.</t>
        </is>
      </c>
      <c r="D7" s="352" t="n">
        <v>46266</v>
      </c>
      <c r="E7" s="353" t="inlineStr">
        <is>
          <t>Medio</t>
        </is>
      </c>
      <c r="F7" s="353" t="inlineStr">
        <is>
          <t>Alto</t>
        </is>
      </c>
      <c r="G7" s="353" t="inlineStr">
        <is>
          <t>Bajo</t>
        </is>
      </c>
      <c r="H7" s="353" t="inlineStr">
        <is>
          <t>Alto</t>
        </is>
      </c>
      <c r="I7" s="267">
        <f>IFERROR(ROUND((IF(E7="Alto",5,IF(E7="Medio",3,IF(E7="Bajo",1,"")))+IF(F7="Alto",5,IF(F7="Medio",3,IF(F7="Bajo",1,"")))+IF(G7="Alto",5,IF(G7="Medio",3,IF(G7="Bajo",1,"")))+IF(H7="Alto",5,IF(H7="Medio",3,IF(H7="Bajo",1,""))))/4,2),"")</f>
        <v/>
      </c>
      <c r="J7" s="267">
        <f>IF(I7="","",IF(I7&gt;=4,"ALTO",IF(I7&gt;=2.34,"MEDIO","BAJO")))</f>
        <v/>
      </c>
      <c r="K7" s="351" t="inlineStr">
        <is>
          <t>Prohibir el pago de tercero salvo parentesco acreditado; alta obligatoria de la cuenta ordenante en el expediente antes de recibir el recurso; alerta automática por cuenta no declarada.</t>
        </is>
      </c>
      <c r="L7" s="354" t="inlineStr">
        <is>
          <t>Se lanza con controles adicionales</t>
        </is>
      </c>
    </row>
    <row r="8" ht="31.5" customHeight="1" s="225">
      <c r="B8" s="267" t="n">
        <v>2</v>
      </c>
      <c r="C8" s="351" t="inlineStr">
        <is>
          <t>Esquema de preventa con apartado de 50,000 pesos reembolsable, dirigido a compradores que aún no acreditan la fuente de los recursos.</t>
        </is>
      </c>
      <c r="D8" s="355" t="n">
        <v>46310</v>
      </c>
      <c r="E8" s="353" t="inlineStr">
        <is>
          <t>Medio</t>
        </is>
      </c>
      <c r="F8" s="353" t="inlineStr">
        <is>
          <t>Medio</t>
        </is>
      </c>
      <c r="G8" s="353" t="inlineStr">
        <is>
          <t>Bajo</t>
        </is>
      </c>
      <c r="H8" s="353" t="inlineStr">
        <is>
          <t>Medio</t>
        </is>
      </c>
      <c r="I8" s="267">
        <f>IFERROR(ROUND((IF(E8="Alto",5,IF(E8="Medio",3,IF(E8="Bajo",1,"")))+IF(F8="Alto",5,IF(F8="Medio",3,IF(F8="Bajo",1,"")))+IF(G8="Alto",5,IF(G8="Medio",3,IF(G8="Bajo",1,"")))+IF(H8="Alto",5,IF(H8="Medio",3,IF(H8="Bajo",1,""))))/4,2),"")</f>
        <v/>
      </c>
      <c r="J8" s="267">
        <f>IF(I8="","",IF(I8&gt;=4,"ALTO",IF(I8&gt;=2.34,"MEDIO","BAJO")))</f>
        <v/>
      </c>
      <c r="K8" s="351" t="inlineStr">
        <is>
          <t>Identificación completa desde el apartado y no hasta la escrituración; el reembolso se paga sólo a la misma cuenta de origen; acumulación del apartado al precio para efectos del umbral.</t>
        </is>
      </c>
      <c r="L8" s="354" t="inlineStr">
        <is>
          <t>Se lanza con controles adicionales</t>
        </is>
      </c>
    </row>
    <row r="9" ht="31.5" customHeight="1" s="225">
      <c r="B9" s="267" t="n">
        <v>3</v>
      </c>
      <c r="C9" s="351" t="inlineStr">
        <is>
          <t>Recepción de criptoactivos como parte del pago, propuesta por un intermediario externo.</t>
        </is>
      </c>
      <c r="D9" s="355" t="n">
        <v>46327</v>
      </c>
      <c r="E9" s="353" t="inlineStr">
        <is>
          <t>Alto</t>
        </is>
      </c>
      <c r="F9" s="353" t="inlineStr">
        <is>
          <t>Alto</t>
        </is>
      </c>
      <c r="G9" s="353" t="inlineStr">
        <is>
          <t>Alto</t>
        </is>
      </c>
      <c r="H9" s="353" t="inlineStr">
        <is>
          <t>Alto</t>
        </is>
      </c>
      <c r="I9" s="267">
        <f>IFERROR(ROUND((IF(E9="Alto",5,IF(E9="Medio",3,IF(E9="Bajo",1,"")))+IF(F9="Alto",5,IF(F9="Medio",3,IF(F9="Bajo",1,"")))+IF(G9="Alto",5,IF(G9="Medio",3,IF(G9="Bajo",1,"")))+IF(H9="Alto",5,IF(H9="Medio",3,IF(H9="Bajo",1,""))))/4,2),"")</f>
        <v/>
      </c>
      <c r="J9" s="267">
        <f>IF(I9="","",IF(I9&gt;=4,"ALTO",IF(I9&gt;=2.34,"MEDIO","BAJO")))</f>
        <v/>
      </c>
      <c r="K9" s="351" t="inlineStr">
        <is>
          <t>No se identificó forma de acreditar el origen de los recursos ni de cumplir la fracción XVI del Art. 17 sin registrarse como sujeto obligado por esa actividad.</t>
        </is>
      </c>
      <c r="L9" s="354" t="inlineStr">
        <is>
          <t>No se lanza</t>
        </is>
      </c>
    </row>
    <row r="10" ht="31.5" customHeight="1" s="225">
      <c r="B10" s="267" t="n">
        <v>4</v>
      </c>
      <c r="C10" s="356" t="n"/>
      <c r="D10" s="353" t="n"/>
      <c r="E10" s="353" t="n"/>
      <c r="F10" s="353" t="n"/>
      <c r="G10" s="353" t="n"/>
      <c r="H10" s="353" t="n"/>
      <c r="I10" s="267">
        <f>IFERROR(ROUND((IF(E10="Alto",5,IF(E10="Medio",3,IF(E10="Bajo",1,"")))+IF(F10="Alto",5,IF(F10="Medio",3,IF(F10="Bajo",1,"")))+IF(G10="Alto",5,IF(G10="Medio",3,IF(G10="Bajo",1,"")))+IF(H10="Alto",5,IF(H10="Medio",3,IF(H10="Bajo",1,""))))/4,2),"")</f>
        <v/>
      </c>
      <c r="J10" s="267">
        <f>IF(I10="","",IF(I10&gt;=4,"ALTO",IF(I10&gt;=2.34,"MEDIO","BAJO")))</f>
        <v/>
      </c>
      <c r="K10" s="356" t="n"/>
      <c r="L10" s="354" t="n"/>
    </row>
    <row r="11" ht="31.5" customHeight="1" s="225">
      <c r="B11" s="267" t="n">
        <v>5</v>
      </c>
      <c r="C11" s="356" t="n"/>
      <c r="D11" s="353" t="n"/>
      <c r="E11" s="353" t="n"/>
      <c r="F11" s="353" t="n"/>
      <c r="G11" s="353" t="n"/>
      <c r="H11" s="353" t="n"/>
      <c r="I11" s="267">
        <f>IFERROR(ROUND((IF(E11="Alto",5,IF(E11="Medio",3,IF(E11="Bajo",1,"")))+IF(F11="Alto",5,IF(F11="Medio",3,IF(F11="Bajo",1,"")))+IF(G11="Alto",5,IF(G11="Medio",3,IF(G11="Bajo",1,"")))+IF(H11="Alto",5,IF(H11="Medio",3,IF(H11="Bajo",1,""))))/4,2),"")</f>
        <v/>
      </c>
      <c r="J11" s="267">
        <f>IF(I11="","",IF(I11&gt;=4,"ALTO",IF(I11&gt;=2.34,"MEDIO","BAJO")))</f>
        <v/>
      </c>
      <c r="K11" s="356" t="n"/>
      <c r="L11" s="354" t="n"/>
    </row>
    <row r="12" ht="31.5" customHeight="1" s="225">
      <c r="B12" s="267" t="n">
        <v>6</v>
      </c>
      <c r="C12" s="356" t="n"/>
      <c r="D12" s="353" t="n"/>
      <c r="E12" s="353" t="n"/>
      <c r="F12" s="353" t="n"/>
      <c r="G12" s="353" t="n"/>
      <c r="H12" s="353" t="n"/>
      <c r="I12" s="267">
        <f>IFERROR(ROUND((IF(E12="Alto",5,IF(E12="Medio",3,IF(E12="Bajo",1,"")))+IF(F12="Alto",5,IF(F12="Medio",3,IF(F12="Bajo",1,"")))+IF(G12="Alto",5,IF(G12="Medio",3,IF(G12="Bajo",1,"")))+IF(H12="Alto",5,IF(H12="Medio",3,IF(H12="Bajo",1,""))))/4,2),"")</f>
        <v/>
      </c>
      <c r="J12" s="267">
        <f>IF(I12="","",IF(I12&gt;=4,"ALTO",IF(I12&gt;=2.34,"MEDIO","BAJO")))</f>
        <v/>
      </c>
      <c r="K12" s="356" t="n"/>
      <c r="L12" s="354" t="n"/>
    </row>
    <row r="13" ht="31.5" customHeight="1" s="225">
      <c r="B13" s="267" t="n">
        <v>7</v>
      </c>
      <c r="C13" s="356" t="n"/>
      <c r="D13" s="353" t="n"/>
      <c r="E13" s="353" t="n"/>
      <c r="F13" s="353" t="n"/>
      <c r="G13" s="353" t="n"/>
      <c r="H13" s="353" t="n"/>
      <c r="I13" s="267">
        <f>IFERROR(ROUND((IF(E13="Alto",5,IF(E13="Medio",3,IF(E13="Bajo",1,"")))+IF(F13="Alto",5,IF(F13="Medio",3,IF(F13="Bajo",1,"")))+IF(G13="Alto",5,IF(G13="Medio",3,IF(G13="Bajo",1,"")))+IF(H13="Alto",5,IF(H13="Medio",3,IF(H13="Bajo",1,""))))/4,2),"")</f>
        <v/>
      </c>
      <c r="J13" s="267">
        <f>IF(I13="","",IF(I13&gt;=4,"ALTO",IF(I13&gt;=2.34,"MEDIO","BAJO")))</f>
        <v/>
      </c>
      <c r="K13" s="356" t="n"/>
      <c r="L13" s="354" t="n"/>
    </row>
    <row r="14" ht="31.5" customHeight="1" s="225">
      <c r="B14" s="267" t="n">
        <v>8</v>
      </c>
      <c r="C14" s="356" t="n"/>
      <c r="D14" s="353" t="n"/>
      <c r="E14" s="353" t="n"/>
      <c r="F14" s="353" t="n"/>
      <c r="G14" s="353" t="n"/>
      <c r="H14" s="353" t="n"/>
      <c r="I14" s="267">
        <f>IFERROR(ROUND((IF(E14="Alto",5,IF(E14="Medio",3,IF(E14="Bajo",1,"")))+IF(F14="Alto",5,IF(F14="Medio",3,IF(F14="Bajo",1,"")))+IF(G14="Alto",5,IF(G14="Medio",3,IF(G14="Bajo",1,"")))+IF(H14="Alto",5,IF(H14="Medio",3,IF(H14="Bajo",1,""))))/4,2),"")</f>
        <v/>
      </c>
      <c r="J14" s="267">
        <f>IF(I14="","",IF(I14&gt;=4,"ALTO",IF(I14&gt;=2.34,"MEDIO","BAJO")))</f>
        <v/>
      </c>
      <c r="K14" s="356" t="n"/>
      <c r="L14" s="354" t="n"/>
    </row>
    <row r="15" ht="31.5" customHeight="1" s="225">
      <c r="B15" s="267" t="n">
        <v>9</v>
      </c>
      <c r="C15" s="356" t="n"/>
      <c r="D15" s="353" t="n"/>
      <c r="E15" s="353" t="n"/>
      <c r="F15" s="353" t="n"/>
      <c r="G15" s="353" t="n"/>
      <c r="H15" s="353" t="n"/>
      <c r="I15" s="267">
        <f>IFERROR(ROUND((IF(E15="Alto",5,IF(E15="Medio",3,IF(E15="Bajo",1,"")))+IF(F15="Alto",5,IF(F15="Medio",3,IF(F15="Bajo",1,"")))+IF(G15="Alto",5,IF(G15="Medio",3,IF(G15="Bajo",1,"")))+IF(H15="Alto",5,IF(H15="Medio",3,IF(H15="Bajo",1,""))))/4,2),"")</f>
        <v/>
      </c>
      <c r="J15" s="267">
        <f>IF(I15="","",IF(I15&gt;=4,"ALTO",IF(I15&gt;=2.34,"MEDIO","BAJO")))</f>
        <v/>
      </c>
      <c r="K15" s="356" t="n"/>
      <c r="L15" s="354" t="n"/>
    </row>
    <row r="16" ht="31.5" customHeight="1" s="225">
      <c r="B16" s="267" t="n">
        <v>10</v>
      </c>
      <c r="C16" s="356" t="n"/>
      <c r="D16" s="353" t="n"/>
      <c r="E16" s="353" t="n"/>
      <c r="F16" s="353" t="n"/>
      <c r="G16" s="353" t="n"/>
      <c r="H16" s="353" t="n"/>
      <c r="I16" s="267">
        <f>IFERROR(ROUND((IF(E16="Alto",5,IF(E16="Medio",3,IF(E16="Bajo",1,"")))+IF(F16="Alto",5,IF(F16="Medio",3,IF(F16="Bajo",1,"")))+IF(G16="Alto",5,IF(G16="Medio",3,IF(G16="Bajo",1,"")))+IF(H16="Alto",5,IF(H16="Medio",3,IF(H16="Bajo",1,""))))/4,2),"")</f>
        <v/>
      </c>
      <c r="J16" s="267">
        <f>IF(I16="","",IF(I16&gt;=4,"ALTO",IF(I16&gt;=2.34,"MEDIO","BAJO")))</f>
        <v/>
      </c>
      <c r="K16" s="356" t="n"/>
      <c r="L16" s="354" t="n"/>
    </row>
    <row r="17" ht="31.5" customHeight="1" s="225">
      <c r="B17" s="267" t="n">
        <v>11</v>
      </c>
      <c r="C17" s="356" t="n"/>
      <c r="D17" s="353" t="n"/>
      <c r="E17" s="353" t="n"/>
      <c r="F17" s="353" t="n"/>
      <c r="G17" s="353" t="n"/>
      <c r="H17" s="353" t="n"/>
      <c r="I17" s="267">
        <f>IFERROR(ROUND((IF(E17="Alto",5,IF(E17="Medio",3,IF(E17="Bajo",1,"")))+IF(F17="Alto",5,IF(F17="Medio",3,IF(F17="Bajo",1,"")))+IF(G17="Alto",5,IF(G17="Medio",3,IF(G17="Bajo",1,"")))+IF(H17="Alto",5,IF(H17="Medio",3,IF(H17="Bajo",1,""))))/4,2),"")</f>
        <v/>
      </c>
      <c r="J17" s="267">
        <f>IF(I17="","",IF(I17&gt;=4,"ALTO",IF(I17&gt;=2.34,"MEDIO","BAJO")))</f>
        <v/>
      </c>
      <c r="K17" s="356" t="n"/>
      <c r="L17" s="354" t="n"/>
    </row>
    <row r="18" ht="31.5" customHeight="1" s="225">
      <c r="B18" s="267" t="n">
        <v>12</v>
      </c>
      <c r="C18" s="356" t="n"/>
      <c r="D18" s="353" t="n"/>
      <c r="E18" s="353" t="n"/>
      <c r="F18" s="353" t="n"/>
      <c r="G18" s="353" t="n"/>
      <c r="H18" s="353" t="n"/>
      <c r="I18" s="267">
        <f>IFERROR(ROUND((IF(E18="Alto",5,IF(E18="Medio",3,IF(E18="Bajo",1,"")))+IF(F18="Alto",5,IF(F18="Medio",3,IF(F18="Bajo",1,"")))+IF(G18="Alto",5,IF(G18="Medio",3,IF(G18="Bajo",1,"")))+IF(H18="Alto",5,IF(H18="Medio",3,IF(H18="Bajo",1,""))))/4,2),"")</f>
        <v/>
      </c>
      <c r="J18" s="267">
        <f>IF(I18="","",IF(I18&gt;=4,"ALTO",IF(I18&gt;=2.34,"MEDIO","BAJO")))</f>
        <v/>
      </c>
      <c r="K18" s="356" t="n"/>
      <c r="L18" s="354" t="n"/>
    </row>
    <row r="21" ht="15" customHeight="1" s="225">
      <c r="B21" s="285" t="inlineStr">
        <is>
          <t>La ficha debe llenarse ANTES del lanzamiento y conservarse 10 años. Si la decisión es «Se lanza» o «Se lanza con controles adicionales», el producto o canal debe incorporarse a la siguiente actualización de A1 y a la matriz de controles A4.</t>
        </is>
      </c>
    </row>
  </sheetData>
  <dataValidations count="2">
    <dataValidation sqref="E7:H18" showDropDown="0" showInputMessage="0" showErrorMessage="0" allowBlank="1" type="list" errorStyle="stop" operator="between">
      <formula1>"Alto,Medio,Bajo"</formula1>
      <formula2>0</formula2>
    </dataValidation>
    <dataValidation sqref="L7:L18" showDropDown="0" showInputMessage="0" showErrorMessage="0" allowBlank="1" type="list" errorStyle="stop" operator="between">
      <formula1>"Se lanza,Se lanza con controles adicionales,Se pospone,No se lanza"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FFC000"/>
    <outlinePr summaryBelow="1" summaryRight="1"/>
    <pageSetUpPr fitToPage="0"/>
  </sheetPr>
  <dimension ref="B2:I33"/>
  <sheetViews>
    <sheetView showFormulas="0" showGridLines="0" showRowColHeaders="1" showZeros="1" rightToLeft="0" tabSelected="0" showOutlineSymbols="1" defaultGridColor="1" view="normal" topLeftCell="A1" colorId="64" zoomScale="100" zoomScaleNormal="100" zoomScalePageLayoutView="100" workbookViewId="0">
      <pane xSplit="2" ySplit="21" topLeftCell="C22" activePane="bottomRight" state="frozen"/>
      <selection pane="topLeft" activeCell="A1" activeCellId="0" sqref="A1"/>
      <selection pane="topRight" activeCell="C1" activeCellId="0" sqref="C1"/>
      <selection pane="bottomLeft" activeCell="A22" activeCellId="0" sqref="A22"/>
      <selection pane="bottomRight" activeCell="A1" activeCellId="0" sqref="A1"/>
    </sheetView>
  </sheetViews>
  <sheetFormatPr baseColWidth="8" defaultColWidth="8.6796875" defaultRowHeight="15" zeroHeight="0" outlineLevelRow="0"/>
  <cols>
    <col width="2" customWidth="1" style="224" min="1" max="1"/>
    <col width="50" customWidth="1" style="224" min="2" max="2"/>
    <col width="4" customWidth="1" style="224" min="3" max="3"/>
    <col width="26" customWidth="1" style="224" min="4" max="6"/>
    <col width="22" customWidth="1" style="224" min="7" max="7"/>
    <col width="16" customWidth="1" style="224" min="8" max="9"/>
    <col width="30" customWidth="1" style="224" min="10" max="10"/>
  </cols>
  <sheetData>
    <row r="2" ht="21.75" customHeight="1" s="225">
      <c r="B2" s="255" t="inlineStr">
        <is>
          <t>A8 · TOLERANCIA AL RIESGO, VIGENCIA Y PLAN DE ACCIÓN</t>
        </is>
      </c>
    </row>
    <row r="3" ht="15" customHeight="1" s="225">
      <c r="B3" s="256" t="inlineStr">
        <is>
          <t>Art. 10 Septies 2 y 10 Septies 3: periodo evaluado de al menos 12 meses, tolerancia declarada, modificación en un plazo no mayor a 12 meses indicando al menos el año y el mes, y revisión anual por escrito.</t>
        </is>
      </c>
    </row>
    <row r="4" ht="15" customHeight="1" s="225">
      <c r="B4" s="230" t="inlineStr">
        <is>
          <t>Paso 9 de 10  ·  Viene de: A6  ·  Sigue: A9 CONSTANCIA Y FUENTES</t>
        </is>
      </c>
    </row>
    <row r="5" ht="15" customHeight="1" s="225">
      <c r="B5" s="272" t="inlineStr">
        <is>
          <t>DECLARACIÓN DE TOLERANCIA Y PERIODO EVALUADO</t>
        </is>
      </c>
    </row>
    <row r="6" ht="15" customHeight="1" s="225">
      <c r="B6" s="287" t="inlineStr">
        <is>
          <t>Nivel de tolerancia declarado (PARÁMETROS C25):</t>
        </is>
      </c>
      <c r="D6" s="293">
        <f>PARAMETROS!C25</f>
        <v/>
      </c>
    </row>
    <row r="7" ht="15" customHeight="1" s="225">
      <c r="B7" s="287" t="inlineStr">
        <is>
          <t>Periodo evaluado — inicio (INICIO C28):</t>
        </is>
      </c>
      <c r="D7" s="357">
        <f>IF(INICIO!$C$28="","",INICIO!$C$28)</f>
        <v/>
      </c>
    </row>
    <row r="8" ht="15" customHeight="1" s="225">
      <c r="B8" s="287" t="inlineStr">
        <is>
          <t>Periodo evaluado — fin (INICIO C29):</t>
        </is>
      </c>
      <c r="D8" s="357">
        <f>IF(INICIO!$C$29="","",INICIO!$C$29)</f>
        <v/>
      </c>
    </row>
    <row r="9" ht="15" customHeight="1" s="225">
      <c r="B9" s="287" t="inlineStr">
        <is>
          <t>Meses del periodo (ambos extremos incluidos):</t>
        </is>
      </c>
      <c r="D9" s="293">
        <f>IFERROR(DATEDIF($D$7,$D$8+1,"m"),"")</f>
        <v/>
      </c>
    </row>
    <row r="10" ht="15" customHeight="1" s="225">
      <c r="B10" s="287" t="inlineStr">
        <is>
          <t>¿Cumple el mínimo de 12 meses (Art. 10 Septies 2)?</t>
        </is>
      </c>
      <c r="D10" s="293">
        <f>IF($D$9="","",IF($D$9&gt;=12,"Sí","No: el periodo evaluado es menor a 12 meses"))</f>
        <v/>
      </c>
    </row>
    <row r="11" ht="15" customHeight="1" s="225">
      <c r="B11" s="287" t="inlineStr">
        <is>
          <t>Fecha de la evaluación (INICIO C27):</t>
        </is>
      </c>
      <c r="D11" s="357">
        <f>IF(INICIO!$C$27="","",INICIO!$C$27)</f>
        <v/>
      </c>
    </row>
    <row r="12" ht="15" customHeight="1" s="225">
      <c r="B12" s="287" t="inlineStr">
        <is>
          <t>Fecha límite de la próxima revisión:</t>
        </is>
      </c>
      <c r="D12" s="293">
        <f>IF(INICIO!$C$27="","",CHOOSE(MONTH(EDATE(INICIO!$C$27,12)),"enero","febrero","marzo","abril","mayo","junio","julio","agosto","septiembre","octubre","noviembre","diciembre")&amp;" de "&amp;YEAR(EDATE(INICIO!$C$27,12)))</f>
        <v/>
      </c>
    </row>
    <row r="14" ht="15" customHeight="1" s="225">
      <c r="B14" s="272" t="inlineStr">
        <is>
          <t>VEREDICTO: ¿EL RESULTADO ESTÁ DENTRO DE LA TOLERANCIA?</t>
        </is>
      </c>
    </row>
    <row r="15" ht="15" customHeight="1" s="225">
      <c r="B15" s="286" t="inlineStr">
        <is>
          <t>Riesgo residual de la entidad:</t>
        </is>
      </c>
      <c r="D15" s="293">
        <f>'A5 RESIDUAL'!$G$13</f>
        <v/>
      </c>
    </row>
    <row r="16" ht="15" customHeight="1" s="225">
      <c r="B16" s="286" t="inlineStr">
        <is>
          <t>Tolerancia declarada:</t>
        </is>
      </c>
      <c r="D16" s="293">
        <f>PARAMETROS!$C$25</f>
        <v/>
      </c>
    </row>
    <row r="17" ht="15" customHeight="1" s="225">
      <c r="B17" s="286" t="inlineStr">
        <is>
          <t>Veredicto:</t>
        </is>
      </c>
      <c r="D17" s="293">
        <f>IF('A5 RESIDUAL'!$G$13="","",IFERROR(IF(MATCH('A5 RESIDUAL'!$G$13,PARAMETROS!$E$15:$E$19,0)&gt;MATCH(PARAMETROS!$C$25,PARAMETROS!$E$15:$E$19,0),"FUERA DE TOLERANCIA","DENTRO DE TOLERANCIA"),"Falta declarar la tolerancia en PARÁMETROS C25"))</f>
        <v/>
      </c>
    </row>
    <row r="18" ht="45.75" customHeight="1" s="225">
      <c r="B18" s="286" t="inlineStr">
        <is>
          <t>Consecuencia:</t>
        </is>
      </c>
      <c r="D18" s="358">
        <f>IF($D$17="","",IF($D$17="FUERA DE TOLERANCIA","Obligatorio documentar plan de acción con responsable y fecha comprometida, y ejecutar la modificación en un plazo no mayor a 12 meses (Art. 10 Septies 2, fr. IV).",IF($D$17="DENTRO DE TOLERANCIA","Se conserva el esquema de control vigente, con monitoreo y evidencia. Igual debe revisarse al menos cada 12 meses.","Sin tolerancia declarada no hay veredicto posible: captúrala en PARÁMETROS, celda C25.")))</f>
        <v/>
      </c>
      <c r="E18" s="232" t="n"/>
      <c r="F18" s="232" t="n"/>
      <c r="G18" s="232" t="n"/>
    </row>
    <row r="20" ht="15" customHeight="1" s="225">
      <c r="B20" s="272" t="inlineStr">
        <is>
          <t>PLAN DE ACCIÓN (obligatorio si el resultado queda fuera de tolerancia)</t>
        </is>
      </c>
    </row>
    <row r="21" ht="31.5" customHeight="1" s="225">
      <c r="B21" s="231" t="inlineStr">
        <is>
          <t>#</t>
        </is>
      </c>
      <c r="C21" s="231" t="inlineStr">
        <is>
          <t>Hallazgo / riesgo fuera de tolerancia</t>
        </is>
      </c>
      <c r="D21" s="233" t="n"/>
      <c r="E21" s="231" t="inlineStr">
        <is>
          <t>Acción comprometida</t>
        </is>
      </c>
      <c r="F21" s="231" t="inlineStr">
        <is>
          <t>Responsable</t>
        </is>
      </c>
      <c r="G21" s="231" t="inlineStr">
        <is>
          <t>Año y mes comprometidos</t>
        </is>
      </c>
      <c r="H21" s="231" t="inlineStr">
        <is>
          <t>Estatus</t>
        </is>
      </c>
      <c r="I21" s="231" t="inlineStr">
        <is>
          <t>Evidencia</t>
        </is>
      </c>
    </row>
    <row r="22" ht="30" customHeight="1" s="225">
      <c r="B22" s="267" t="n">
        <v>1</v>
      </c>
      <c r="C22" s="351" t="inlineStr">
        <is>
          <t>El indicador 18, instrumento monetario, es el de mayor riesgo residual de toda la matriz (9.74, MEDIO): 56 de 112 operaciones del periodo tuvieron algún componente en efectivo.</t>
        </is>
      </c>
      <c r="D22" s="233" t="n"/>
      <c r="E22" s="351" t="inlineStr">
        <is>
          <t>Bajar el umbral interno de aceptación de efectivo de 150,000 a 80,000 pesos por operación y desplazar el cobro a transferencia mediante acuerdo con las tres desarrolladoras.</t>
        </is>
      </c>
      <c r="F22" s="354" t="inlineStr">
        <is>
          <t>Representante Encargada de Cumplimiento</t>
        </is>
      </c>
      <c r="G22" s="353" t="inlineStr">
        <is>
          <t>marzo de 2027</t>
        </is>
      </c>
      <c r="H22" s="353" t="inlineStr">
        <is>
          <t>En proceso</t>
        </is>
      </c>
      <c r="I22" s="351" t="inlineStr">
        <is>
          <t>Adenda al Manual numeral 7.1 y convenios firmados con las desarrolladoras.</t>
        </is>
      </c>
    </row>
    <row r="23" ht="30" customHeight="1" s="225">
      <c r="B23" s="267" t="n">
        <v>2</v>
      </c>
      <c r="C23" s="351" t="inlineStr">
        <is>
          <t>La fracción IV del catálogo quedó en «Cumple parcialmente»: se declara la búsqueda de Personas Políticamente Expuestas pero no se conserva constancia de la consulta.</t>
        </is>
      </c>
      <c r="D23" s="233" t="n"/>
      <c r="E23" s="351" t="inlineStr">
        <is>
          <t>Incorporar la impresión fechada de la consulta PEP al expediente de cada Cliente y correr la consulta retroactiva de los 86 Clientes del periodo.</t>
        </is>
      </c>
      <c r="F23" s="354" t="inlineStr">
        <is>
          <t>Área de expedientes</t>
        </is>
      </c>
      <c r="G23" s="353" t="inlineStr">
        <is>
          <t>enero de 2027</t>
        </is>
      </c>
      <c r="H23" s="353" t="inlineStr">
        <is>
          <t>En proceso</t>
        </is>
      </c>
      <c r="I23" s="351" t="inlineStr">
        <is>
          <t>Constancia de consulta en expediente y reporte de la corrida retroactiva.</t>
        </is>
      </c>
    </row>
    <row r="24" ht="30" customHeight="1" s="225">
      <c r="B24" s="267" t="n">
        <v>3</v>
      </c>
      <c r="C24" s="351" t="inlineStr">
        <is>
          <t>La fracción V quedó en «Cumple parcialmente»: las alertas del perfil transaccional se revisan pero sin bitácora de atención. Dos de las siete alertas del periodo siguen sin dictamen.</t>
        </is>
      </c>
      <c r="D24" s="233" t="n"/>
      <c r="E24" s="351" t="inlineStr">
        <is>
          <t>Implantar bitácora de atención de alertas con responsable, fecha, dictamen y evidencia, y cerrar las dos alertas pendientes.</t>
        </is>
      </c>
      <c r="F24" s="354" t="inlineStr">
        <is>
          <t>Representante Encargada de Cumplimiento</t>
        </is>
      </c>
      <c r="G24" s="353" t="inlineStr">
        <is>
          <t>noviembre de 2026</t>
        </is>
      </c>
      <c r="H24" s="353" t="inlineStr">
        <is>
          <t>En proceso</t>
        </is>
      </c>
      <c r="I24" s="351" t="inlineStr">
        <is>
          <t>Bitácora del sistema con dictamen firmado por alerta.</t>
        </is>
      </c>
    </row>
    <row r="25" ht="30" customHeight="1" s="225">
      <c r="B25" s="267" t="n">
        <v>4</v>
      </c>
      <c r="C25" s="351" t="inlineStr">
        <is>
          <t>La fracción XII quedó en «Cumple parcialmente»: hay programa de auditoría aprobado pero falta designar y preparar al área que emitirá el dictamen.</t>
        </is>
      </c>
      <c r="D25" s="233" t="n"/>
      <c r="E25" s="351" t="inlineStr">
        <is>
          <t>Preparar el área de auditoría y designar a quien emitirá el dictamen. Con riesgo bajo o medio puede practicarla el área de auditoría interna (Art. 44); con riesgo alto, o si así se elige, va persona auditora externa independiente (Art. 45). El primer periodo de revisión corre del 1 de enero al 31 de diciembre de 2028 (Transitorio Octavo) y el dictamen se entrega a más tardar el último día hábil de marzo de 2029 (Art. 50).</t>
        </is>
      </c>
      <c r="F25" s="354" t="inlineStr">
        <is>
          <t>Órgano de administración</t>
        </is>
      </c>
      <c r="G25" s="353" t="inlineStr">
        <is>
          <t>diciembre de 2026</t>
        </is>
      </c>
      <c r="H25" s="353" t="inlineStr">
        <is>
          <t>No iniciada</t>
        </is>
      </c>
      <c r="I25" s="351" t="inlineStr">
        <is>
          <t>Programa anual de auditoría y acta de designación de quien emitirá el dictamen; el dictamen del ejercicio 2028 se entrega en marzo de 2029.</t>
        </is>
      </c>
    </row>
    <row r="26" ht="30" customHeight="1" s="225">
      <c r="B26" s="267" t="n">
        <v>5</v>
      </c>
      <c r="C26" s="351" t="inlineStr">
        <is>
          <t>El indicador 13, Beneficiario Controlador, pesa 0.18 dentro del elemento 2 y el régimen cambia: a partir del 30 de noviembre de 2026 desaparece la constancia declarativa en persona moral y fideicomiso, y hay que identificarlo.</t>
        </is>
      </c>
      <c r="D26" s="233" t="n"/>
      <c r="E26" s="351" t="inlineStr">
        <is>
          <t>Sustituir la constancia declarativa por identificación efectiva en los 31 expedientes de persona moral y adecuar el formato del expediente antes de la fecha de entrada en vigor.</t>
        </is>
      </c>
      <c r="F26" s="354" t="inlineStr">
        <is>
          <t>Área de expedientes</t>
        </is>
      </c>
      <c r="G26" s="353" t="inlineStr">
        <is>
          <t>noviembre de 2026</t>
        </is>
      </c>
      <c r="H26" s="353" t="inlineStr">
        <is>
          <t>En proceso</t>
        </is>
      </c>
      <c r="I26" s="351" t="inlineStr">
        <is>
          <t>Expedientes con Beneficiario Controlador identificado y formato nuevo liberado.</t>
        </is>
      </c>
    </row>
    <row r="27" ht="30" customHeight="1" s="225">
      <c r="B27" s="267" t="n">
        <v>6</v>
      </c>
      <c r="C27" s="356" t="n"/>
      <c r="D27" s="233" t="n"/>
      <c r="E27" s="356" t="n"/>
      <c r="F27" s="354" t="n"/>
      <c r="G27" s="353" t="n"/>
      <c r="H27" s="353" t="n"/>
      <c r="I27" s="356" t="n"/>
    </row>
    <row r="28" ht="30" customHeight="1" s="225">
      <c r="B28" s="267" t="n">
        <v>7</v>
      </c>
      <c r="C28" s="356" t="n"/>
      <c r="D28" s="233" t="n"/>
      <c r="E28" s="356" t="n"/>
      <c r="F28" s="354" t="n"/>
      <c r="G28" s="353" t="n"/>
      <c r="H28" s="353" t="n"/>
      <c r="I28" s="356" t="n"/>
    </row>
    <row r="29" ht="30" customHeight="1" s="225">
      <c r="B29" s="267" t="n">
        <v>8</v>
      </c>
      <c r="C29" s="356" t="n"/>
      <c r="D29" s="233" t="n"/>
      <c r="E29" s="356" t="n"/>
      <c r="F29" s="354" t="n"/>
      <c r="G29" s="353" t="n"/>
      <c r="H29" s="353" t="n"/>
      <c r="I29" s="356" t="n"/>
    </row>
    <row r="30" ht="30" customHeight="1" s="225">
      <c r="B30" s="267" t="n">
        <v>9</v>
      </c>
      <c r="C30" s="356" t="n"/>
      <c r="D30" s="233" t="n"/>
      <c r="E30" s="356" t="n"/>
      <c r="F30" s="354" t="n"/>
      <c r="G30" s="353" t="n"/>
      <c r="H30" s="353" t="n"/>
      <c r="I30" s="356" t="n"/>
    </row>
    <row r="31" ht="30" customHeight="1" s="225">
      <c r="B31" s="267" t="n">
        <v>10</v>
      </c>
      <c r="C31" s="356" t="n"/>
      <c r="D31" s="233" t="n"/>
      <c r="E31" s="356" t="n"/>
      <c r="F31" s="354" t="n"/>
      <c r="G31" s="353" t="n"/>
      <c r="H31" s="353" t="n"/>
      <c r="I31" s="356" t="n"/>
    </row>
    <row r="33" ht="15" customHeight="1" s="225">
      <c r="B33" s="285" t="inlineStr">
        <is>
          <t>El Art. 10 Septies 2, último párrafo, pide indicar al menos el año y mes EN QUE SE OBTUVIERON LOS RESULTADOS de la implementación: ése ancla el plazo de doce meses. La fecha comprometida de la acción es buena práctica de esta matriz. Un plan sin fecha no acredita mitigación: acredita intención.</t>
        </is>
      </c>
    </row>
  </sheetData>
  <mergeCells count="15">
    <mergeCell ref="D18:G18"/>
    <mergeCell ref="C29:D29"/>
    <mergeCell ref="C24:D24"/>
    <mergeCell ref="C21:D21"/>
    <mergeCell ref="B5:G5"/>
    <mergeCell ref="B14:G14"/>
    <mergeCell ref="C30:D30"/>
    <mergeCell ref="C25:D25"/>
    <mergeCell ref="B20:I20"/>
    <mergeCell ref="C27:D27"/>
    <mergeCell ref="C28:D28"/>
    <mergeCell ref="C22:D22"/>
    <mergeCell ref="C31:D31"/>
    <mergeCell ref="C26:D26"/>
    <mergeCell ref="C23:D23"/>
  </mergeCells>
  <conditionalFormatting sqref="D15">
    <cfRule type="expression" rank="0" priority="2" equalAverage="0" aboveAverage="0" dxfId="2" text="" percent="0" bottom="0">
      <formula>EXACT(D15,"BAJO")</formula>
    </cfRule>
    <cfRule type="expression" rank="0" priority="3" equalAverage="0" aboveAverage="0" dxfId="3" text="" percent="0" bottom="0">
      <formula>EXACT(D15,"MEDIO BAJO")</formula>
    </cfRule>
    <cfRule type="expression" rank="0" priority="4" equalAverage="0" aboveAverage="0" dxfId="4" text="" percent="0" bottom="0">
      <formula>EXACT(D15,"MEDIO")</formula>
    </cfRule>
    <cfRule type="expression" rank="0" priority="5" equalAverage="0" aboveAverage="0" dxfId="5" text="" percent="0" bottom="0">
      <formula>EXACT(D15,"MEDIO ALTO")</formula>
    </cfRule>
    <cfRule type="expression" rank="0" priority="6" equalAverage="0" aboveAverage="0" dxfId="6" text="" percent="0" bottom="0">
      <formula>EXACT(D15,"ALTO")</formula>
    </cfRule>
  </conditionalFormatting>
  <conditionalFormatting sqref="D17">
    <cfRule type="expression" rank="0" priority="7" equalAverage="0" aboveAverage="0" dxfId="6" text="" percent="0" bottom="0">
      <formula>EXACT($D$17,"FUERA DE TOLERANCIA")</formula>
    </cfRule>
    <cfRule type="expression" rank="0" priority="8" equalAverage="0" aboveAverage="0" dxfId="1" text="" percent="0" bottom="0">
      <formula>EXACT($D$17,"DENTRO DE TOLERANCIA")</formula>
    </cfRule>
  </conditionalFormatting>
  <dataValidations count="1">
    <dataValidation sqref="H22:H31" showDropDown="0" showInputMessage="0" showErrorMessage="0" allowBlank="1" type="list" errorStyle="stop" operator="between">
      <formula1>"No iniciada,En proceso,Concluida,Cancelada con justificación"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FFC000"/>
    <outlinePr summaryBelow="1" summaryRight="1"/>
    <pageSetUpPr fitToPage="0"/>
  </sheetPr>
  <dimension ref="B2:G57"/>
  <sheetViews>
    <sheetView showFormulas="0" showGridLines="0" showRowColHeaders="1" showZeros="1" rightToLeft="0" tabSelected="0" showOutlineSymbols="1" defaultGridColor="1"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baseColWidth="8" defaultColWidth="8.6796875" defaultRowHeight="15" zeroHeight="0" outlineLevelRow="0"/>
  <cols>
    <col width="2" customWidth="1" style="224" min="1" max="1"/>
    <col width="52" customWidth="1" style="224" min="2" max="2"/>
    <col width="3" customWidth="1" style="224" min="3" max="3"/>
    <col width="24" customWidth="1" style="224" min="4" max="5"/>
    <col width="26" customWidth="1" style="224" min="6" max="7"/>
    <col width="4" customWidth="1" style="224" min="8" max="8"/>
  </cols>
  <sheetData>
    <row r="2" ht="21.75" customHeight="1" s="225">
      <c r="B2" s="255" t="inlineStr">
        <is>
          <t>A9 · CONSTANCIA DE LA EVALUACIÓN, FUENTES Y CONSERVACIÓN</t>
        </is>
      </c>
    </row>
    <row r="3" ht="15" customHeight="1" s="225">
      <c r="B3" s="256" t="inlineStr">
        <is>
          <t>Aquí se documenta lo que la matriz no calcula pero la autoridad sí exige: la ENR tomada en cuenta, la conciliación con tus mecanismos automatizados, los datos proyectados, la aprobación y las versiones.</t>
        </is>
      </c>
    </row>
    <row r="4" ht="15" customHeight="1" s="225">
      <c r="B4" s="230" t="inlineStr">
        <is>
          <t>Pasos 2 y 10  ·  Secciones 1 y 2 se llenan ANTES de A1  ·  Secciones 3 a 7 al cierre</t>
        </is>
      </c>
    </row>
    <row r="5" ht="21" customHeight="1" s="225">
      <c r="B5" s="272" t="inlineStr">
        <is>
          <t>ESTADO DE LLENADO DE LA CONSTANCIA</t>
        </is>
      </c>
    </row>
    <row r="6" ht="15" customHeight="1" s="225">
      <c r="B6" s="325" t="inlineStr">
        <is>
          <t>Datos obligatorios que faltan:</t>
        </is>
      </c>
      <c r="D6" s="359">
        <f>COUNTBLANK(D10:D14)+COUNTBLANK(E19:E21)+COUNTBLANK(D22:D23)+COUNTBLANK(D28)+COUNTBLANK(D34:D39)+COUNTBLANK(F46)+COUNTBLANK(D54:D56)</f>
        <v/>
      </c>
    </row>
    <row r="7" ht="30" customHeight="1" s="225">
      <c r="D7" s="284">
        <f>IF($D$6=0,"Completa: la constancia puede imprimirse, firmarse y conservarse como evidencia de la evaluación.","Faltan "&amp;$D$6&amp;" dato(s) obligatorio(s): la evaluación todavía no está documentada por completo.")</f>
        <v/>
      </c>
      <c r="E7" s="232" t="n"/>
      <c r="F7" s="232" t="n"/>
      <c r="G7" s="233" t="n"/>
    </row>
    <row r="9" ht="21" customHeight="1" s="225">
      <c r="B9" s="272" t="inlineStr">
        <is>
          <t>1 · EVALUACIÓN NACIONAL DE RIESGOS (Art. 10 Septies, segundo párrafo)</t>
        </is>
      </c>
    </row>
    <row r="10" ht="15" customHeight="1" s="225">
      <c r="B10" s="324" t="inlineStr">
        <is>
          <t>Versión o año de la ENR tomada en cuenta:</t>
        </is>
      </c>
      <c r="D10" s="360" t="inlineStr">
        <is>
          <t>ENR 2023 (versión pública)</t>
        </is>
      </c>
    </row>
    <row r="11" ht="15" customHeight="1" s="225">
      <c r="B11" s="324" t="inlineStr">
        <is>
          <t>Fecha en que se consultó:</t>
        </is>
      </c>
      <c r="D11" s="361" t="n">
        <v>46188</v>
      </c>
    </row>
    <row r="12" ht="31.5" customHeight="1" s="225">
      <c r="B12" s="324" t="inlineStr">
        <is>
          <t>Amenazas, sectores y tipologías de la ENR que aplican a esta actividad:</t>
        </is>
      </c>
      <c r="D12" s="309" t="inlineStr">
        <is>
          <t>De la ENR aplican a esta actividad: el uso del sector inmobiliario para colocar efectivo de procedencia ilícita; la interposición de personas morales de reciente constitución y de terceros para ocultar al comprador real; el pago fraccionado por debajo de umbrales; y la subvaluación o sobrevaluación del inmueble respecto del valor de mercado.</t>
        </is>
      </c>
      <c r="E12" s="232" t="n"/>
      <c r="F12" s="232" t="n"/>
      <c r="G12" s="233" t="n"/>
    </row>
    <row r="13" ht="31.5" customHeight="1" s="225">
      <c r="B13" s="324" t="inlineStr">
        <is>
          <t>Cómo se reflejó la ENR en esta evaluación:</t>
        </is>
      </c>
      <c r="D13" s="309" t="inlineStr">
        <is>
          <t>Cada amenaza se ancló a un indicador. La colocación de efectivo elevó el perfil Alto del indicador 18 a 50% y sostiene su peso de 0.22. La interposición de personas morales sostiene el peso de 0.18 de los indicadores 6 y 13, y el 45% de perfil Alto del indicador 3. El fraccionamiento sostiene el 30% de perfil Alto del indicador 21. La subvaluación se atiende en el indicador 20 y en el control adicional de doble firma. Las cuatro quedaron además en el plan de acción de A8.</t>
        </is>
      </c>
      <c r="E13" s="232" t="n"/>
      <c r="F13" s="232" t="n"/>
      <c r="G13" s="233" t="n"/>
    </row>
    <row r="14" ht="15" customHeight="1" s="225">
      <c r="B14" s="324" t="inlineStr">
        <is>
          <t>¿La ENR se actualizó después de esta evaluación?</t>
        </is>
      </c>
      <c r="D14" s="360" t="inlineStr">
        <is>
          <t>No</t>
        </is>
      </c>
    </row>
    <row r="15" ht="27.75" customHeight="1" s="225">
      <c r="D15" s="362">
        <f>IF($D$14="Sí","⚠ La actualización de la Evaluación Nacional de Riesgos obliga a revisar esta evaluación (Art. 10 Septies 3), sin esperar a que se cumplan los doce meses.","")</f>
        <v/>
      </c>
    </row>
    <row r="17" ht="21" customHeight="1" s="225">
      <c r="B17" s="272" t="inlineStr">
        <is>
          <t>2 · DATOS DE DOCE MESES Y CONCILIACIÓN CON EL MECANISMO AUTOMATIZADO (Art. 10 Septies 2, fr. I y II)</t>
        </is>
      </c>
    </row>
    <row r="18" ht="31.5" customHeight="1" s="225">
      <c r="B18" s="231" t="inlineStr">
        <is>
          <t>Dato mínimo de doce meses</t>
        </is>
      </c>
      <c r="C18" s="233" t="n"/>
      <c r="D18" s="231" t="inlineStr">
        <is>
          <t>Usado en esta evaluación</t>
        </is>
      </c>
      <c r="E18" s="231" t="inlineStr">
        <is>
          <t>Según el mecanismo automatizado</t>
        </is>
      </c>
      <c r="F18" s="231" t="inlineStr">
        <is>
          <t>Diferencia</t>
        </is>
      </c>
      <c r="G18" s="231" t="inlineStr">
        <is>
          <t>Estatus</t>
        </is>
      </c>
    </row>
    <row r="19" ht="19.5" customHeight="1" s="225">
      <c r="B19" s="291" t="inlineStr">
        <is>
          <t>Número de Clientes o Usuarios</t>
        </is>
      </c>
      <c r="C19" s="233" t="n"/>
      <c r="D19" s="363">
        <f>INICIO!$C$32</f>
        <v/>
      </c>
      <c r="E19" s="364" t="n">
        <v>86</v>
      </c>
      <c r="F19" s="363">
        <f>IF(OR($D19="",$E19=""),"",$E19-$D19)</f>
        <v/>
      </c>
      <c r="G19" s="293">
        <f>IF($F19="","",IF($F19=0,"Conciliado","Diferencia"))</f>
        <v/>
      </c>
    </row>
    <row r="20" ht="19.5" customHeight="1" s="225">
      <c r="B20" s="291" t="inlineStr">
        <is>
          <t>Número de operaciones (actos u operaciones)</t>
        </is>
      </c>
      <c r="C20" s="233" t="n"/>
      <c r="D20" s="363">
        <f>INICIO!$C$33</f>
        <v/>
      </c>
      <c r="E20" s="364" t="n">
        <v>112</v>
      </c>
      <c r="F20" s="363">
        <f>IF(OR($D20="",$E20=""),"",$E20-$D20)</f>
        <v/>
      </c>
      <c r="G20" s="293">
        <f>IF($F20="","",IF($F20=0,"Conciliado","Diferencia"))</f>
        <v/>
      </c>
    </row>
    <row r="21" ht="19.5" customHeight="1" s="225">
      <c r="B21" s="291" t="inlineStr">
        <is>
          <t>Monto operado en el periodo</t>
        </is>
      </c>
      <c r="C21" s="233" t="n"/>
      <c r="D21" s="365">
        <f>INICIO!$C$34</f>
        <v/>
      </c>
      <c r="E21" s="366" t="n">
        <v>428600000</v>
      </c>
      <c r="F21" s="365">
        <f>IF(OR($D21="",$E21=""),"",$E21-$D21)</f>
        <v/>
      </c>
      <c r="G21" s="293">
        <f>IF($F21="","",IF($F21=0,"Conciliado","Diferencia"))</f>
        <v/>
      </c>
    </row>
    <row r="22" ht="19.5" customHeight="1" s="225">
      <c r="B22" s="324" t="inlineStr">
        <is>
          <t>Sistema o mecanismo automatizado del que se obtuvieron las cifras:</t>
        </is>
      </c>
      <c r="D22" s="309" t="inlineStr">
        <is>
          <t>Sistema de registro de operaciones y generación de Avisos «Ejemplo ERP Inmobiliario», módulo de cumplimiento y reportes, versión 4.2.</t>
        </is>
      </c>
      <c r="E22" s="232" t="n"/>
      <c r="F22" s="232" t="n"/>
      <c r="G22" s="233" t="n"/>
    </row>
    <row r="23" ht="15" customHeight="1" s="225">
      <c r="B23" s="324" t="inlineStr">
        <is>
          <t>Fecha de la conciliación:</t>
        </is>
      </c>
      <c r="D23" s="361" t="n">
        <v>46203</v>
      </c>
    </row>
    <row r="24" ht="30" customHeight="1" s="225">
      <c r="B24" s="324" t="inlineStr">
        <is>
          <t>Explicación de las diferencias (si las hay):</t>
        </is>
      </c>
      <c r="D24" s="309" t="inlineStr">
        <is>
          <t>Sin diferencias: las tres cifras de la evaluación coinciden con las del mecanismo automatizado al corte del 30 de junio de 2026. Se verificó además que las 14 operaciones que generaron Aviso en el periodo estén conciliadas contra los acuses del portal.</t>
        </is>
      </c>
      <c r="E24" s="232" t="n"/>
      <c r="F24" s="232" t="n"/>
      <c r="G24" s="233" t="n"/>
    </row>
    <row r="25" ht="31.5" customHeight="1" s="225">
      <c r="D25" s="277">
        <f>IF(SUMPRODUCT(--($F$19:$F$21&lt;&gt;""),--($F$19:$F$21&lt;&gt;0))&gt;0,"Hay diferencias con el mecanismo automatizado. El Art. 10 Septies 2, fr. I exige que la evaluación no sea inconsistente con lo que registran tus mecanismos: corrige la cifra o explica la diferencia en el renglón anterior.","Sin diferencias: la evaluación es consistente con lo registrado en el mecanismo automatizado.")</f>
        <v/>
      </c>
      <c r="E25" s="232" t="n"/>
      <c r="F25" s="232" t="n"/>
      <c r="G25" s="233" t="n"/>
    </row>
    <row r="27" ht="21" customHeight="1" s="225">
      <c r="B27" s="272" t="inlineStr">
        <is>
          <t>3 · DATOS PROYECTADOS (Art. 10 Septies 2, párrafo siguiente a la fr. II)</t>
        </is>
      </c>
    </row>
    <row r="28" ht="15" customHeight="1" s="225">
      <c r="B28" s="324" t="inlineStr">
        <is>
          <t>¿La entidad operó durante todo el periodo evaluado?</t>
        </is>
      </c>
      <c r="D28" s="360" t="inlineStr">
        <is>
          <t>Sí</t>
        </is>
      </c>
    </row>
    <row r="29" ht="30" customHeight="1" s="225">
      <c r="B29" s="324" t="inlineStr">
        <is>
          <t>Si no operó todo el periodo: base y metodología de la proyección</t>
        </is>
      </c>
      <c r="D29" s="309" t="inlineStr">
        <is>
          <t>No aplica: la entidad operó los doce meses completos del periodo evaluado, del 1 de julio de 2025 al 30 de junio de 2026, y la evaluación se hizo íntegramente con datos reales. No se utilizaron datos proyectados.</t>
        </is>
      </c>
      <c r="E29" s="232" t="n"/>
      <c r="F29" s="232" t="n"/>
      <c r="G29" s="233" t="n"/>
    </row>
    <row r="30" ht="19.5" customHeight="1" s="225">
      <c r="B30" s="324" t="inlineStr">
        <is>
          <t>Fecha en que deben sustituirse los proyectados por datos reales:</t>
        </is>
      </c>
      <c r="D30" s="284">
        <f>IF(INICIO!$C$27="","(captura la fecha de la evaluación en INICIO)",CHOOSE(MONTH(EDATE(INICIO!$C$27,12)),"enero","febrero","marzo","abril","mayo","junio","julio","agosto","septiembre","octubre","noviembre","diciembre")&amp;" de "&amp;YEAR(EDATE(INICIO!$C$27,12)))</f>
        <v/>
      </c>
      <c r="E30" s="232" t="n"/>
      <c r="F30" s="232" t="n"/>
      <c r="G30" s="233" t="n"/>
    </row>
    <row r="31" ht="27.75" customHeight="1" s="225">
      <c r="D31" s="362">
        <f>IF($D$28="No","⚠ Estás trabajando con datos proyectados. Al cumplirse los doce meses debes actualizar la evaluación con datos reales (Art. 10 Septies 2).","")</f>
        <v/>
      </c>
    </row>
    <row r="33" ht="21" customHeight="1" s="225">
      <c r="B33" s="272" t="inlineStr">
        <is>
          <t>4 · APROBACIÓN, CONSTANCIA Y CONSERVACIÓN (Art. 10 Septies 3, tercer párrafo)</t>
        </is>
      </c>
    </row>
    <row r="34" ht="15" customHeight="1" s="225">
      <c r="B34" s="324" t="inlineStr">
        <is>
          <t>Elaboró la evaluación (nombre y cargo):</t>
        </is>
      </c>
      <c r="D34" s="309" t="inlineStr">
        <is>
          <t>María Ejemplo Ruiz — Representante Encargada de Cumplimiento</t>
        </is>
      </c>
    </row>
    <row r="35" ht="15" customHeight="1" s="225">
      <c r="B35" s="324" t="inlineStr">
        <is>
          <t>Fecha de elaboración:</t>
        </is>
      </c>
      <c r="D35" s="361" t="n">
        <v>46204</v>
      </c>
    </row>
    <row r="36" ht="15" customHeight="1" s="225">
      <c r="B36" s="324" t="inlineStr">
        <is>
          <t>Aprobó la evaluación (nombre y cargo):</t>
        </is>
      </c>
      <c r="D36" s="309" t="inlineStr">
        <is>
          <t>Jorge Ejemplo Lara — Administrador Único</t>
        </is>
      </c>
    </row>
    <row r="37" ht="15" customHeight="1" s="225">
      <c r="B37" s="324" t="inlineStr">
        <is>
          <t>Fecha de aprobación:</t>
        </is>
      </c>
      <c r="D37" s="361" t="n">
        <v>46218</v>
      </c>
    </row>
    <row r="38" ht="15" customHeight="1" s="225">
      <c r="B38" s="324" t="inlineStr">
        <is>
          <t>Medio en que consta la aprobación:</t>
        </is>
      </c>
      <c r="D38" s="367" t="inlineStr">
        <is>
          <t>Acta de sesión del órgano de administración</t>
        </is>
      </c>
      <c r="E38" s="232" t="n"/>
      <c r="F38" s="232" t="n"/>
      <c r="G38" s="233" t="n"/>
    </row>
    <row r="39" ht="19.5" customHeight="1" s="225">
      <c r="B39" s="324" t="inlineStr">
        <is>
          <t>Lugar de resguardo del expediente de la evaluación:</t>
        </is>
      </c>
      <c r="D39" s="309" t="inlineStr">
        <is>
          <t>Repositorio de cumplimiento en servidor propio con respaldo cifrado y control de accesos, más carpeta física en el domicilio fiscal. Responsable del resguardo: la Representante Encargada de Cumplimiento.</t>
        </is>
      </c>
      <c r="E39" s="232" t="n"/>
      <c r="F39" s="232" t="n"/>
      <c r="G39" s="233" t="n"/>
    </row>
    <row r="40" ht="19.5" customHeight="1" s="225">
      <c r="B40" s="324" t="inlineStr">
        <is>
          <t>Conservar al menos hasta:</t>
        </is>
      </c>
      <c r="D40" s="284">
        <f>IF($D$37="","(captura la fecha de aprobación)",CHOOSE(MONTH(EDATE($D$37,120)),"enero","febrero","marzo","abril","mayo","junio","julio","agosto","septiembre","octubre","noviembre","diciembre")&amp;" de "&amp;YEAR(EDATE($D$37,120)))</f>
        <v/>
      </c>
      <c r="E40" s="232" t="n"/>
      <c r="F40" s="232" t="n"/>
      <c r="G40" s="233" t="n"/>
    </row>
    <row r="41" ht="27.75" customHeight="1" s="225">
      <c r="D41" s="362">
        <f>IF($D$37="","⚠ Sin fecha de aprobación no se acredita que la evaluación fue aprobada ni puede calcularse el plazo de conservación de diez años.","")</f>
        <v/>
      </c>
    </row>
    <row r="43" ht="21" customHeight="1" s="225">
      <c r="B43" s="272" t="inlineStr">
        <is>
          <t>5 · LOS DOS PLAZOS DE DOCE MESES — NO SON EL MISMO</t>
        </is>
      </c>
    </row>
    <row r="44" ht="31.5" customHeight="1" s="225">
      <c r="B44" s="231" t="inlineStr">
        <is>
          <t>Obligación</t>
        </is>
      </c>
      <c r="C44" s="233" t="n"/>
      <c r="D44" s="231" t="inlineStr">
        <is>
          <t>Fundamento</t>
        </is>
      </c>
      <c r="E44" s="231" t="inlineStr">
        <is>
          <t>Vence</t>
        </is>
      </c>
      <c r="F44" s="231" t="inlineStr">
        <is>
          <t>Compromiso registrado (año y mes)</t>
        </is>
      </c>
      <c r="G44" s="233" t="n"/>
    </row>
    <row r="45" ht="27.75" customHeight="1" s="225">
      <c r="B45" s="277" t="inlineStr">
        <is>
          <t>Revisar y actualizar esta evaluación</t>
        </is>
      </c>
      <c r="C45" s="233" t="n"/>
      <c r="D45" s="368" t="inlineStr">
        <is>
          <t>Art. 10 Septies 3, primer párrafo</t>
        </is>
      </c>
      <c r="E45" s="293">
        <f>IF(INICIO!$C$27="","",CHOOSE(MONTH(EDATE(INICIO!$C$27,12)),"enero","febrero","marzo","abril","mayo","junio","julio","agosto","septiembre","octubre","noviembre","diciembre")&amp;" de "&amp;YEAR(EDATE(INICIO!$C$27,12)))</f>
        <v/>
      </c>
      <c r="F45" s="369" t="inlineStr">
        <is>
          <t>No aplica: el plazo lo fija la propia norma</t>
        </is>
      </c>
      <c r="G45" s="233" t="n"/>
    </row>
    <row r="46" ht="27.75" customHeight="1" s="225">
      <c r="B46" s="277" t="inlineStr">
        <is>
          <t>Modificar las políticas conforme a los resultados</t>
        </is>
      </c>
      <c r="C46" s="233" t="n"/>
      <c r="D46" s="368" t="inlineStr">
        <is>
          <t>Art. 10 Septies 2, último párrafo</t>
        </is>
      </c>
      <c r="E46" s="293">
        <f>IF(INICIO!$C$27="","",CHOOSE(MONTH(EDATE(INICIO!$C$27,12)),"enero","febrero","marzo","abril","mayo","junio","julio","agosto","septiembre","octubre","noviembre","diciembre")&amp;" de "&amp;YEAR(EDATE(INICIO!$C$27,12)))</f>
        <v/>
      </c>
      <c r="F46" s="370" t="inlineStr">
        <is>
          <t>julio de 2027</t>
        </is>
      </c>
      <c r="G46" s="233" t="n"/>
    </row>
    <row r="47" ht="31.5" customHeight="1" s="225">
      <c r="D47" s="277">
        <f>IF($F$46="","Falta registrar el año y el mes. Ojo: el Art. 10 Septies 2, último párrafo, pide el año y mes EN QUE SE OBTUVIERON LOS RESULTADOS de la implementación, que es el que ancla el plazo de doce meses.","Compromiso registrado. Los dos plazos corren en paralelo: revisar la evaluación y modificar las políticas son obligaciones distintas.")</f>
        <v/>
      </c>
      <c r="E47" s="232" t="n"/>
      <c r="F47" s="232" t="n"/>
      <c r="G47" s="233" t="n"/>
    </row>
    <row r="49" ht="21" customHeight="1" s="225">
      <c r="B49" s="272" t="inlineStr">
        <is>
          <t>6 · CONTROL DE VERSIONES DE LA EVALUACIÓN</t>
        </is>
      </c>
    </row>
    <row r="50" ht="19.5" customHeight="1" s="225">
      <c r="B50" s="231" t="inlineStr">
        <is>
          <t>Versión</t>
        </is>
      </c>
      <c r="C50" s="233" t="n"/>
      <c r="D50" s="231" t="inlineStr">
        <is>
          <t>Fecha</t>
        </is>
      </c>
      <c r="E50" s="231" t="inlineStr">
        <is>
          <t>Cambios principales</t>
        </is>
      </c>
      <c r="F50" s="233" t="n"/>
      <c r="G50" s="231" t="inlineStr">
        <is>
          <t>Responsable</t>
        </is>
      </c>
    </row>
    <row r="51" ht="21.75" customHeight="1" s="225">
      <c r="B51" s="360" t="inlineStr">
        <is>
          <t>v.1</t>
        </is>
      </c>
      <c r="C51" s="233" t="n"/>
      <c r="D51" s="361" t="n">
        <v>46218</v>
      </c>
      <c r="E51" s="367" t="inlineStr">
        <is>
          <t>Primera evaluación bajo el Cap. II Quáter de las Reglas de Carácter General.</t>
        </is>
      </c>
      <c r="F51" s="233" t="n"/>
      <c r="G51" s="360" t="inlineStr">
        <is>
          <t>Encargado de Cumplimiento</t>
        </is>
      </c>
    </row>
    <row r="52" ht="21.75" customHeight="1" s="225">
      <c r="B52" s="360" t="n"/>
      <c r="C52" s="233" t="n"/>
      <c r="D52" s="361" t="n"/>
      <c r="E52" s="367" t="n"/>
      <c r="F52" s="233" t="n"/>
      <c r="G52" s="360" t="n"/>
    </row>
    <row r="53" ht="21.75" customHeight="1" s="225">
      <c r="B53" s="371" t="inlineStr">
        <is>
          <t>7 · METODOLOGÍA INCORPORADA AL MANUAL (Art. 37, último párrafo)</t>
        </is>
      </c>
      <c r="C53" s="233" t="n"/>
      <c r="D53" s="361" t="n"/>
      <c r="E53" s="367" t="n"/>
      <c r="F53" s="233" t="n"/>
      <c r="G53" s="360" t="n"/>
    </row>
    <row r="54" ht="21.75" customHeight="1" s="225">
      <c r="B54" s="372" t="inlineStr">
        <is>
          <t>¿El Manual incluye el diseño de esta metodología?</t>
        </is>
      </c>
      <c r="C54" s="233" t="n"/>
      <c r="D54" s="373" t="inlineStr">
        <is>
          <t>Sí</t>
        </is>
      </c>
      <c r="E54" s="374">
        <f>IF(OR($D$54="No",$D$55="No"),"⚠ El Art. 37, último párrafo, exige que el Manual incluya el diseño de la metodología y los criterios de apertura, limitación o terminación congruentes con ella. Sin eso, la evaluación existe pero no está incorporada donde la norma la pide.","")</f>
        <v/>
      </c>
      <c r="F54" s="233" t="n"/>
      <c r="G54" s="360" t="n"/>
    </row>
    <row r="55" ht="21.75" customHeight="1" s="225">
      <c r="B55" s="372" t="inlineStr">
        <is>
          <t>¿Incluye los criterios de apertura, limitación o terminación congruentes con ella?</t>
        </is>
      </c>
      <c r="C55" s="233" t="n"/>
      <c r="D55" s="373" t="inlineStr">
        <is>
          <t>Sí</t>
        </is>
      </c>
      <c r="E55" s="367" t="n"/>
      <c r="F55" s="233" t="n"/>
      <c r="G55" s="360" t="n"/>
    </row>
    <row r="56" ht="15" customHeight="1" s="225">
      <c r="B56" s="250" t="inlineStr">
        <is>
          <t>Numeral del Manual donde consta:</t>
        </is>
      </c>
      <c r="D56" s="375" t="inlineStr">
        <is>
          <t>Manual, numeral 2.3</t>
        </is>
      </c>
    </row>
    <row r="57" ht="15" customHeight="1" s="225">
      <c r="B57" s="256" t="inlineStr">
        <is>
          <t>Esta hoja es la constancia por escrito que exige el Art. 10 Septies 3: impresa y firmada, junto con A1 a A8, acredita que la evaluación existió, quién la aprobó y con qué fuentes se hizo. Conservarla diez años.</t>
        </is>
      </c>
    </row>
  </sheetData>
  <mergeCells count="44">
    <mergeCell ref="E50:F50"/>
    <mergeCell ref="B54:C54"/>
    <mergeCell ref="E55:F55"/>
    <mergeCell ref="D12:G12"/>
    <mergeCell ref="D39:G39"/>
    <mergeCell ref="D25:G25"/>
    <mergeCell ref="B17:G17"/>
    <mergeCell ref="B46:C46"/>
    <mergeCell ref="D24:G24"/>
    <mergeCell ref="D30:G30"/>
    <mergeCell ref="D15:G15"/>
    <mergeCell ref="E52:F52"/>
    <mergeCell ref="D29:G29"/>
    <mergeCell ref="B18:C18"/>
    <mergeCell ref="D38:G38"/>
    <mergeCell ref="B52:C52"/>
    <mergeCell ref="B21:C21"/>
    <mergeCell ref="E51:F51"/>
    <mergeCell ref="B9:G9"/>
    <mergeCell ref="F45:G45"/>
    <mergeCell ref="B49:G49"/>
    <mergeCell ref="B53:C53"/>
    <mergeCell ref="B33:G33"/>
    <mergeCell ref="D22:G22"/>
    <mergeCell ref="D40:G40"/>
    <mergeCell ref="B44:C44"/>
    <mergeCell ref="D31:G31"/>
    <mergeCell ref="B5:G5"/>
    <mergeCell ref="B19:C19"/>
    <mergeCell ref="F46:G46"/>
    <mergeCell ref="D13:G13"/>
    <mergeCell ref="B55:C55"/>
    <mergeCell ref="D41:G41"/>
    <mergeCell ref="E54:F54"/>
    <mergeCell ref="B51:C51"/>
    <mergeCell ref="B20:C20"/>
    <mergeCell ref="D47:G47"/>
    <mergeCell ref="B27:G27"/>
    <mergeCell ref="B45:C45"/>
    <mergeCell ref="D7:G7"/>
    <mergeCell ref="B43:G43"/>
    <mergeCell ref="B50:C50"/>
    <mergeCell ref="E53:F53"/>
    <mergeCell ref="F44:G44"/>
  </mergeCells>
  <conditionalFormatting sqref="D6">
    <cfRule type="expression" rank="0" priority="2" equalAverage="0" aboveAverage="0" dxfId="1" text="" percent="0" bottom="0">
      <formula>$D$6=0</formula>
    </cfRule>
    <cfRule type="expression" rank="0" priority="3" equalAverage="0" aboveAverage="0" dxfId="0" text="" percent="0" bottom="0">
      <formula>$D$6&gt;0</formula>
    </cfRule>
  </conditionalFormatting>
  <conditionalFormatting sqref="G19">
    <cfRule type="expression" rank="0" priority="4" equalAverage="0" aboveAverage="0" dxfId="0" text="" percent="0" bottom="0">
      <formula>EXACT($G19,"Diferencia")</formula>
    </cfRule>
    <cfRule type="expression" rank="0" priority="5" equalAverage="0" aboveAverage="0" dxfId="1" text="" percent="0" bottom="0">
      <formula>EXACT($G19,"Conciliado")</formula>
    </cfRule>
  </conditionalFormatting>
  <conditionalFormatting sqref="G20">
    <cfRule type="expression" rank="0" priority="6" equalAverage="0" aboveAverage="0" dxfId="0" text="" percent="0" bottom="0">
      <formula>EXACT($G20,"Diferencia")</formula>
    </cfRule>
    <cfRule type="expression" rank="0" priority="7" equalAverage="0" aboveAverage="0" dxfId="1" text="" percent="0" bottom="0">
      <formula>EXACT($G20,"Conciliado")</formula>
    </cfRule>
  </conditionalFormatting>
  <conditionalFormatting sqref="G21">
    <cfRule type="expression" rank="0" priority="8" equalAverage="0" aboveAverage="0" dxfId="0" text="" percent="0" bottom="0">
      <formula>EXACT($G21,"Diferencia")</formula>
    </cfRule>
    <cfRule type="expression" rank="0" priority="9" equalAverage="0" aboveAverage="0" dxfId="1" text="" percent="0" bottom="0">
      <formula>EXACT($G21,"Conciliado")</formula>
    </cfRule>
  </conditionalFormatting>
  <dataValidations count="3">
    <dataValidation sqref="D14 D28" showDropDown="0" showInputMessage="0" showErrorMessage="0" allowBlank="1" type="list" errorStyle="stop" operator="between">
      <formula1>"Sí,No"</formula1>
      <formula2>0</formula2>
    </dataValidation>
    <dataValidation sqref="D38" showDropDown="0" showInputMessage="0" showErrorMessage="0" allowBlank="1" type="list" errorStyle="stop" operator="between">
      <formula1>"Acta de sesión del órgano de administración,Oficio o memorándum firmado,Firma autógrafa en el documento,Firma electrónica avanzada,Correo electrónico institucional"</formula1>
      <formula2>0</formula2>
    </dataValidation>
    <dataValidation sqref="D54:D55" showDropDown="0" showInputMessage="0" showErrorMessage="0" allowBlank="1" type="list" errorStyle="stop" operator="between">
      <formula1>"Sí,No"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tabColor rgb="FFF2A541"/>
    <outlinePr summaryBelow="1" summaryRight="1"/>
    <pageSetUpPr fitToPage="0"/>
  </sheetPr>
  <dimension ref="B2:K2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224" min="1" max="1"/>
    <col width="8" customWidth="1" style="224" min="2" max="2"/>
    <col width="46" customWidth="1" style="224" min="3" max="3"/>
    <col width="15" customWidth="1" style="224" min="4" max="9"/>
    <col width="11" customWidth="1" style="224" min="10" max="10"/>
    <col width="13" customWidth="1" style="224" min="11" max="11"/>
  </cols>
  <sheetData>
    <row r="2" ht="17.35" customHeight="1" s="225">
      <c r="B2" s="376" t="inlineStr">
        <is>
          <t>PRODUCTOS Y SERVICIOS · nivel de riesgo de lo que ofreces</t>
        </is>
      </c>
    </row>
    <row r="3" ht="15" customHeight="1" s="225">
      <c r="B3" s="377" t="inlineStr">
        <is>
          <t>Un renglón por producto, servicio u operación que ofreces. Cada indicador se califica por columna y el nivel del producto es el promedio de sus indicadores.</t>
        </is>
      </c>
    </row>
    <row r="4" ht="15" customHeight="1" s="225">
      <c r="B4" s="378" t="inlineStr">
        <is>
          <t>Alimenta el factor «Producto o servicio contratado» de la hoja B CLIENTE. Los seis indicadores son los del elemento 1 de la hoja A1: así el riesgo del producto se mide igual en los dos modelos.</t>
        </is>
      </c>
    </row>
    <row r="6" ht="19.5" customHeight="1" s="225">
      <c r="B6" s="379" t="inlineStr">
        <is>
          <t>CATÁLOGO DE PRODUCTOS  ·  califica cada indicador en Alto, Medio o Bajo</t>
        </is>
      </c>
    </row>
    <row r="7" ht="30" customHeight="1" s="225">
      <c r="B7" s="380" t="inlineStr">
        <is>
          <t>Clave</t>
        </is>
      </c>
      <c r="C7" s="380" t="inlineStr">
        <is>
          <t>Producto, servicio u operación</t>
        </is>
      </c>
      <c r="D7" s="380" t="inlineStr">
        <is>
          <t>Valor del producto o servicio</t>
        </is>
      </c>
      <c r="E7" s="380" t="inlineStr">
        <is>
          <t>Liquidez o convertibilidad</t>
        </is>
      </c>
      <c r="F7" s="380" t="inlineStr">
        <is>
          <t>Anonimato que permite</t>
        </is>
      </c>
      <c r="G7" s="380" t="inlineStr">
        <is>
          <t>Facilidad de transferir u ocultar valor</t>
        </is>
      </c>
      <c r="H7" s="380" t="inlineStr">
        <is>
          <t>Exposición al financiamiento al terrorismo</t>
        </is>
      </c>
      <c r="I7" s="380" t="inlineStr">
        <is>
          <t>Uso de efectivo asociado</t>
        </is>
      </c>
      <c r="J7" s="380" t="inlineStr">
        <is>
          <t>Nivel</t>
        </is>
      </c>
      <c r="K7" s="380" t="inlineStr">
        <is>
          <t>Riesgo</t>
        </is>
      </c>
    </row>
    <row r="8" ht="15" customHeight="1" s="225">
      <c r="B8" s="381" t="inlineStr">
        <is>
          <t>P-01</t>
        </is>
      </c>
      <c r="C8" s="382" t="inlineStr">
        <is>
          <t>Compraventa de casa habitación de interés medio</t>
        </is>
      </c>
      <c r="D8" s="360" t="inlineStr">
        <is>
          <t>Medio</t>
        </is>
      </c>
      <c r="E8" s="360" t="inlineStr">
        <is>
          <t>Bajo</t>
        </is>
      </c>
      <c r="F8" s="360" t="inlineStr">
        <is>
          <t>Medio</t>
        </is>
      </c>
      <c r="G8" s="360" t="inlineStr">
        <is>
          <t>Medio</t>
        </is>
      </c>
      <c r="H8" s="360" t="inlineStr">
        <is>
          <t>Bajo</t>
        </is>
      </c>
      <c r="I8" s="360" t="inlineStr">
        <is>
          <t>Medio</t>
        </is>
      </c>
      <c r="J8" s="383">
        <f>(IF(D8="Alto",5,IF(D8="Medio",3,1))+IF(E8="Alto",5,IF(E8="Medio",3,1))+IF(F8="Alto",5,IF(F8="Medio",3,1))+IF(G8="Alto",5,IF(G8="Medio",3,1))+IF(H8="Alto",5,IF(H8="Medio",3,1))+IF(I8="Alto",5,IF(I8="Medio",3,1)))/6</f>
        <v/>
      </c>
      <c r="K8" s="381">
        <f>IF(J8&gt;=3.67,"ALTO",IF(J8&gt;=2.34,"MEDIO","BAJO"))</f>
        <v/>
      </c>
    </row>
    <row r="9" ht="15" customHeight="1" s="225">
      <c r="B9" s="381" t="inlineStr">
        <is>
          <t>P-02</t>
        </is>
      </c>
      <c r="C9" s="382" t="inlineStr">
        <is>
          <t>Compraventa de casa habitación residencial</t>
        </is>
      </c>
      <c r="D9" s="360" t="inlineStr">
        <is>
          <t>Alto</t>
        </is>
      </c>
      <c r="E9" s="360" t="inlineStr">
        <is>
          <t>Bajo</t>
        </is>
      </c>
      <c r="F9" s="360" t="inlineStr">
        <is>
          <t>Medio</t>
        </is>
      </c>
      <c r="G9" s="360" t="inlineStr">
        <is>
          <t>Alto</t>
        </is>
      </c>
      <c r="H9" s="360" t="inlineStr">
        <is>
          <t>Bajo</t>
        </is>
      </c>
      <c r="I9" s="360" t="inlineStr">
        <is>
          <t>Alto</t>
        </is>
      </c>
      <c r="J9" s="383">
        <f>(IF(D9="Alto",5,IF(D9="Medio",3,1))+IF(E9="Alto",5,IF(E9="Medio",3,1))+IF(F9="Alto",5,IF(F9="Medio",3,1))+IF(G9="Alto",5,IF(G9="Medio",3,1))+IF(H9="Alto",5,IF(H9="Medio",3,1))+IF(I9="Alto",5,IF(I9="Medio",3,1)))/6</f>
        <v/>
      </c>
      <c r="K9" s="381">
        <f>IF(J9&gt;=3.67,"ALTO",IF(J9&gt;=2.34,"MEDIO","BAJO"))</f>
        <v/>
      </c>
    </row>
    <row r="10" ht="15" customHeight="1" s="225">
      <c r="B10" s="381" t="inlineStr">
        <is>
          <t>P-03</t>
        </is>
      </c>
      <c r="C10" s="382" t="inlineStr">
        <is>
          <t>Compraventa de local comercial</t>
        </is>
      </c>
      <c r="D10" s="360" t="inlineStr">
        <is>
          <t>Alto</t>
        </is>
      </c>
      <c r="E10" s="360" t="inlineStr">
        <is>
          <t>Medio</t>
        </is>
      </c>
      <c r="F10" s="360" t="inlineStr">
        <is>
          <t>Medio</t>
        </is>
      </c>
      <c r="G10" s="360" t="inlineStr">
        <is>
          <t>Alto</t>
        </is>
      </c>
      <c r="H10" s="360" t="inlineStr">
        <is>
          <t>Medio</t>
        </is>
      </c>
      <c r="I10" s="360" t="inlineStr">
        <is>
          <t>Medio</t>
        </is>
      </c>
      <c r="J10" s="383">
        <f>(IF(D10="Alto",5,IF(D10="Medio",3,1))+IF(E10="Alto",5,IF(E10="Medio",3,1))+IF(F10="Alto",5,IF(F10="Medio",3,1))+IF(G10="Alto",5,IF(G10="Medio",3,1))+IF(H10="Alto",5,IF(H10="Medio",3,1))+IF(I10="Alto",5,IF(I10="Medio",3,1)))/6</f>
        <v/>
      </c>
      <c r="K10" s="381">
        <f>IF(J10&gt;=3.67,"ALTO",IF(J10&gt;=2.34,"MEDIO","BAJO"))</f>
        <v/>
      </c>
    </row>
    <row r="11" ht="15" customHeight="1" s="225">
      <c r="B11" s="381" t="inlineStr">
        <is>
          <t>P-04</t>
        </is>
      </c>
      <c r="C11" s="382" t="inlineStr">
        <is>
          <t>Preventa con apartado reembolsable</t>
        </is>
      </c>
      <c r="D11" s="360" t="inlineStr">
        <is>
          <t>Medio</t>
        </is>
      </c>
      <c r="E11" s="360" t="inlineStr">
        <is>
          <t>Alto</t>
        </is>
      </c>
      <c r="F11" s="360" t="inlineStr">
        <is>
          <t>Alto</t>
        </is>
      </c>
      <c r="G11" s="360" t="inlineStr">
        <is>
          <t>Alto</t>
        </is>
      </c>
      <c r="H11" s="360" t="inlineStr">
        <is>
          <t>Bajo</t>
        </is>
      </c>
      <c r="I11" s="360" t="inlineStr">
        <is>
          <t>Alto</t>
        </is>
      </c>
      <c r="J11" s="383">
        <f>(IF(D11="Alto",5,IF(D11="Medio",3,1))+IF(E11="Alto",5,IF(E11="Medio",3,1))+IF(F11="Alto",5,IF(F11="Medio",3,1))+IF(G11="Alto",5,IF(G11="Medio",3,1))+IF(H11="Alto",5,IF(H11="Medio",3,1))+IF(I11="Alto",5,IF(I11="Medio",3,1)))/6</f>
        <v/>
      </c>
      <c r="K11" s="381">
        <f>IF(J11&gt;=3.67,"ALTO",IF(J11&gt;=2.34,"MEDIO","BAJO"))</f>
        <v/>
      </c>
    </row>
    <row r="12" ht="15" customHeight="1" s="225">
      <c r="B12" s="381" t="inlineStr">
        <is>
          <t>P-05</t>
        </is>
      </c>
      <c r="C12" s="382" t="inlineStr">
        <is>
          <t>Renta con opción a compra</t>
        </is>
      </c>
      <c r="D12" s="360" t="inlineStr">
        <is>
          <t>Medio</t>
        </is>
      </c>
      <c r="E12" s="360" t="inlineStr">
        <is>
          <t>Medio</t>
        </is>
      </c>
      <c r="F12" s="360" t="inlineStr">
        <is>
          <t>Alto</t>
        </is>
      </c>
      <c r="G12" s="360" t="inlineStr">
        <is>
          <t>Medio</t>
        </is>
      </c>
      <c r="H12" s="360" t="inlineStr">
        <is>
          <t>Bajo</t>
        </is>
      </c>
      <c r="I12" s="360" t="inlineStr">
        <is>
          <t>Medio</t>
        </is>
      </c>
      <c r="J12" s="383">
        <f>(IF(D12="Alto",5,IF(D12="Medio",3,1))+IF(E12="Alto",5,IF(E12="Medio",3,1))+IF(F12="Alto",5,IF(F12="Medio",3,1))+IF(G12="Alto",5,IF(G12="Medio",3,1))+IF(H12="Alto",5,IF(H12="Medio",3,1))+IF(I12="Alto",5,IF(I12="Medio",3,1)))/6</f>
        <v/>
      </c>
      <c r="K12" s="381">
        <f>IF(J12&gt;=3.67,"ALTO",IF(J12&gt;=2.34,"MEDIO","BAJO"))</f>
        <v/>
      </c>
    </row>
    <row r="13" ht="15" customHeight="1" s="225">
      <c r="B13" s="381" t="inlineStr">
        <is>
          <t>P-06</t>
        </is>
      </c>
      <c r="C13" s="382" t="inlineStr">
        <is>
          <t>Desarrollo por encargo (obra a la medida)</t>
        </is>
      </c>
      <c r="D13" s="360" t="inlineStr">
        <is>
          <t>Alto</t>
        </is>
      </c>
      <c r="E13" s="360" t="inlineStr">
        <is>
          <t>Bajo</t>
        </is>
      </c>
      <c r="F13" s="360" t="inlineStr">
        <is>
          <t>Alto</t>
        </is>
      </c>
      <c r="G13" s="360" t="inlineStr">
        <is>
          <t>Alto</t>
        </is>
      </c>
      <c r="H13" s="360" t="inlineStr">
        <is>
          <t>Medio</t>
        </is>
      </c>
      <c r="I13" s="360" t="inlineStr">
        <is>
          <t>Medio</t>
        </is>
      </c>
      <c r="J13" s="383">
        <f>(IF(D13="Alto",5,IF(D13="Medio",3,1))+IF(E13="Alto",5,IF(E13="Medio",3,1))+IF(F13="Alto",5,IF(F13="Medio",3,1))+IF(G13="Alto",5,IF(G13="Medio",3,1))+IF(H13="Alto",5,IF(H13="Medio",3,1))+IF(I13="Alto",5,IF(I13="Medio",3,1)))/6</f>
        <v/>
      </c>
      <c r="K13" s="381">
        <f>IF(J13&gt;=3.67,"ALTO",IF(J13&gt;=2.34,"MEDIO","BAJO"))</f>
        <v/>
      </c>
    </row>
    <row r="15" ht="15" customHeight="1" s="225">
      <c r="B15" s="295" t="inlineStr">
        <is>
          <t>Los seis indicadores corresponden al elemento 1 de la hoja A1 —actos u operaciones— y a los delitos de los artículos 139 Quáter y 400 Bis del Código Penal Federal. El anonimato no es un atributo del Cliente sino del producto: por eso se mide aquí y no en la hoja B CLIENTE.</t>
        </is>
      </c>
    </row>
    <row r="16" ht="15" customHeight="1" s="225"/>
    <row r="17" ht="15" customHeight="1" s="225">
      <c r="C17" s="384" t="inlineStr">
        <is>
          <t>Fundamento de cada indicador</t>
        </is>
      </c>
    </row>
    <row r="18" ht="15" customHeight="1" s="225">
      <c r="C18" s="385" t="inlineStr">
        <is>
          <t>Valor del producto o servicio</t>
        </is>
      </c>
      <c r="D18" s="385" t="inlineStr">
        <is>
          <t>RCG 10 Septies 1 fr. I a)</t>
        </is>
      </c>
    </row>
    <row r="19" ht="15" customHeight="1" s="225">
      <c r="C19" s="385" t="inlineStr">
        <is>
          <t>Liquidez o convertibilidad</t>
        </is>
      </c>
      <c r="D19" s="385" t="inlineStr">
        <is>
          <t>RCG 10 Septies 1 fr. I a)</t>
        </is>
      </c>
    </row>
    <row r="20" ht="15" customHeight="1" s="225">
      <c r="C20" s="385" t="inlineStr">
        <is>
          <t>Anonimato que permite</t>
        </is>
      </c>
      <c r="D20" s="385" t="inlineStr">
        <is>
          <t>CPF 400 Bis</t>
        </is>
      </c>
    </row>
    <row r="21" ht="15" customHeight="1" s="225">
      <c r="C21" s="385" t="inlineStr">
        <is>
          <t>Facilidad de transferir u ocultar valor</t>
        </is>
      </c>
      <c r="D21" s="385" t="inlineStr">
        <is>
          <t>CPF 400 Bis</t>
        </is>
      </c>
    </row>
    <row r="22" ht="15" customHeight="1" s="225">
      <c r="C22" s="385" t="inlineStr">
        <is>
          <t>Exposición al financiamiento al terrorismo</t>
        </is>
      </c>
      <c r="D22" s="385" t="inlineStr">
        <is>
          <t>CPF 139 Quáter</t>
        </is>
      </c>
    </row>
    <row r="23" ht="15" customHeight="1" s="225">
      <c r="C23" s="385" t="inlineStr">
        <is>
          <t>Uso de efectivo asociado</t>
        </is>
      </c>
      <c r="D23" s="385" t="inlineStr">
        <is>
          <t>L 32</t>
        </is>
      </c>
    </row>
  </sheetData>
  <mergeCells count="5">
    <mergeCell ref="B15:K16"/>
    <mergeCell ref="B4:K4"/>
    <mergeCell ref="B6:K6"/>
    <mergeCell ref="B2:K2"/>
    <mergeCell ref="B3:K3"/>
  </mergeCells>
  <dataValidations count="1">
    <dataValidation sqref="D8:I13" showDropDown="0" showInputMessage="0" showErrorMessage="0" allowBlank="0" type="list" errorStyle="stop" operator="between">
      <formula1>"Alto,Medio,Bajo"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tabColor rgb="FFBFBFBF"/>
    <outlinePr summaryBelow="1" summaryRight="1"/>
    <pageSetUpPr fitToPage="0"/>
  </sheetPr>
  <dimension ref="B2:H10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224" min="1" max="1"/>
    <col width="8" customWidth="1" style="224" min="2" max="2"/>
    <col width="14" customWidth="1" style="224" min="3" max="3"/>
    <col width="44" customWidth="1" style="224" min="4" max="4"/>
    <col width="54" customWidth="1" style="224" min="5" max="5"/>
    <col width="8" customWidth="1" style="224" min="6" max="6"/>
    <col width="46" customWidth="1" style="224" min="7" max="7"/>
    <col hidden="1" width="34" customWidth="1" style="224" min="8" max="8"/>
  </cols>
  <sheetData>
    <row r="2" ht="17.35" customHeight="1" s="225">
      <c r="B2" s="376" t="inlineStr">
        <is>
          <t>VARIABLES POR FACTOR · el catálogo del modelo de Cliente</t>
        </is>
      </c>
    </row>
    <row r="3" ht="15" customHeight="1" s="225">
      <c r="B3" s="377" t="inlineStr">
        <is>
          <t>Una fila por variable. Es la política escrita del modelo: qué cuenta como riesgo alto, medio o bajo en cada factor. Va en el Manual (Art. 23 Bis).</t>
        </is>
      </c>
    </row>
    <row r="4" ht="15" customHeight="1" s="225">
      <c r="B4" s="386" t="inlineStr">
        <is>
          <t>REGLA DEL CATÁLOGO · Un factor, un atributo. Cada variable de un factor mide lo mismo que las demás de ese factor, y nada de lo que mide otro factor. Si un atributo aparece en dos factores, se cuenta dos veces con peso. Todos los niveles son 1, 3 o 5.</t>
        </is>
      </c>
    </row>
    <row r="6" ht="19.5" customHeight="1" s="225">
      <c r="B6" s="379" t="inlineStr">
        <is>
          <t>CATÁLOGO DE VARIABLES</t>
        </is>
      </c>
    </row>
    <row r="7" ht="30" customHeight="1" s="225">
      <c r="B7" s="380" t="inlineStr">
        <is>
          <t>Clave</t>
        </is>
      </c>
      <c r="C7" s="380" t="inlineStr">
        <is>
          <t>Familia</t>
        </is>
      </c>
      <c r="D7" s="380" t="inlineStr">
        <is>
          <t>Factor</t>
        </is>
      </c>
      <c r="E7" s="380" t="inlineStr">
        <is>
          <t>Variable</t>
        </is>
      </c>
      <c r="F7" s="380" t="inlineStr">
        <is>
          <t>Nivel</t>
        </is>
      </c>
      <c r="G7" s="380" t="inlineStr">
        <is>
          <t>Fuente del dato</t>
        </is>
      </c>
      <c r="H7" s="380" t="inlineStr">
        <is>
          <t>Llave</t>
        </is>
      </c>
    </row>
    <row r="8" ht="15" customHeight="1" s="225">
      <c r="B8" s="387" t="inlineStr">
        <is>
          <t>F01</t>
        </is>
      </c>
      <c r="C8" s="388" t="inlineStr">
        <is>
          <t>Inherente</t>
        </is>
      </c>
      <c r="D8" s="389" t="inlineStr">
        <is>
          <t>Tipo de persona</t>
        </is>
      </c>
      <c r="E8" s="382" t="inlineStr">
        <is>
          <t>Persona física</t>
        </is>
      </c>
      <c r="F8" s="381" t="n">
        <v>1</v>
      </c>
      <c r="G8" s="390" t="inlineStr">
        <is>
          <t>Anexo aplicable: 3 física · 4 moral · 8 fideicomiso</t>
        </is>
      </c>
      <c r="H8" s="391">
        <f>VARIABLES!$B8&amp;"|"&amp;VARIABLES!$E8</f>
        <v/>
      </c>
    </row>
    <row r="9" ht="15" customHeight="1" s="225">
      <c r="B9" s="387" t="inlineStr">
        <is>
          <t>F01</t>
        </is>
      </c>
      <c r="C9" s="388" t="inlineStr">
        <is>
          <t>Inherente</t>
        </is>
      </c>
      <c r="D9" s="389" t="inlineStr">
        <is>
          <t>Tipo de persona</t>
        </is>
      </c>
      <c r="E9" s="382" t="inlineStr">
        <is>
          <t>Persona moral con fines de lucro (sociedad mercantil)</t>
        </is>
      </c>
      <c r="F9" s="381" t="n">
        <v>3</v>
      </c>
      <c r="G9" s="390" t="inlineStr">
        <is>
          <t>Anexo aplicable: 3 física · 4 moral · 8 fideicomiso</t>
        </is>
      </c>
      <c r="H9" s="391">
        <f>VARIABLES!$B9&amp;"|"&amp;VARIABLES!$E9</f>
        <v/>
      </c>
    </row>
    <row r="10" ht="15" customHeight="1" s="225">
      <c r="B10" s="387" t="inlineStr">
        <is>
          <t>F01</t>
        </is>
      </c>
      <c r="C10" s="388" t="inlineStr">
        <is>
          <t>Inherente</t>
        </is>
      </c>
      <c r="D10" s="389" t="inlineStr">
        <is>
          <t>Tipo de persona</t>
        </is>
      </c>
      <c r="E10" s="382" t="inlineStr">
        <is>
          <t>Persona moral sin fines de lucro (asociación o sociedad civil)</t>
        </is>
      </c>
      <c r="F10" s="381" t="n">
        <v>3</v>
      </c>
      <c r="G10" s="390" t="inlineStr">
        <is>
          <t>Anexo aplicable: 3 física · 4 moral · 8 fideicomiso</t>
        </is>
      </c>
      <c r="H10" s="391">
        <f>VARIABLES!$B10&amp;"|"&amp;VARIABLES!$E10</f>
        <v/>
      </c>
    </row>
    <row r="11" ht="15" customHeight="1" s="225">
      <c r="B11" s="387" t="inlineStr">
        <is>
          <t>F01</t>
        </is>
      </c>
      <c r="C11" s="388" t="inlineStr">
        <is>
          <t>Inherente</t>
        </is>
      </c>
      <c r="D11" s="389" t="inlineStr">
        <is>
          <t>Tipo de persona</t>
        </is>
      </c>
      <c r="E11" s="382" t="inlineStr">
        <is>
          <t>Fideicomiso</t>
        </is>
      </c>
      <c r="F11" s="381" t="n">
        <v>5</v>
      </c>
      <c r="G11" s="390" t="inlineStr">
        <is>
          <t>Anexo aplicable: 3 física · 4 moral · 8 fideicomiso</t>
        </is>
      </c>
      <c r="H11" s="391">
        <f>VARIABLES!$B11&amp;"|"&amp;VARIABLES!$E11</f>
        <v/>
      </c>
    </row>
    <row r="12" ht="15" customHeight="1" s="225">
      <c r="B12" s="387" t="inlineStr">
        <is>
          <t>F01</t>
        </is>
      </c>
      <c r="C12" s="388" t="inlineStr">
        <is>
          <t>Inherente</t>
        </is>
      </c>
      <c r="D12" s="389" t="inlineStr">
        <is>
          <t>Tipo de persona</t>
        </is>
      </c>
      <c r="E12" s="382" t="inlineStr">
        <is>
          <t>Otra figura o vehículo sin personalidad jurídica propia</t>
        </is>
      </c>
      <c r="F12" s="381" t="n">
        <v>5</v>
      </c>
      <c r="G12" s="390" t="inlineStr">
        <is>
          <t>Anexo aplicable: 3 física · 4 moral · 8 fideicomiso</t>
        </is>
      </c>
      <c r="H12" s="391">
        <f>VARIABLES!$B12&amp;"|"&amp;VARIABLES!$E12</f>
        <v/>
      </c>
    </row>
    <row r="13" ht="15" customHeight="1" s="225">
      <c r="B13" s="387" t="inlineStr">
        <is>
          <t>F01</t>
        </is>
      </c>
      <c r="C13" s="388" t="inlineStr">
        <is>
          <t>Inherente</t>
        </is>
      </c>
      <c r="D13" s="389" t="inlineStr">
        <is>
          <t>Tipo de persona</t>
        </is>
      </c>
      <c r="E13" s="382" t="inlineStr">
        <is>
          <t>No determinado</t>
        </is>
      </c>
      <c r="F13" s="381" t="n">
        <v>5</v>
      </c>
      <c r="G13" s="390" t="inlineStr">
        <is>
          <t>Anexo aplicable: 3 física · 4 moral · 8 fideicomiso</t>
        </is>
      </c>
      <c r="H13" s="391">
        <f>VARIABLES!$B13&amp;"|"&amp;VARIABLES!$E13</f>
        <v/>
      </c>
    </row>
    <row r="14" ht="15" customHeight="1" s="225">
      <c r="B14" s="387" t="inlineStr">
        <is>
          <t>F02</t>
        </is>
      </c>
      <c r="C14" s="388" t="inlineStr">
        <is>
          <t>Inherente</t>
        </is>
      </c>
      <c r="D14" s="389" t="inlineStr">
        <is>
          <t>Fecha de nacimiento o de constitución</t>
        </is>
      </c>
      <c r="E14" s="382" t="inlineStr">
        <is>
          <t>Persona física de 23 a 59 años</t>
        </is>
      </c>
      <c r="F14" s="381" t="n">
        <v>1</v>
      </c>
      <c r="G14" s="390" t="inlineStr">
        <is>
          <t>A3 a) ii) · A4 a) ii)</t>
        </is>
      </c>
      <c r="H14" s="391">
        <f>VARIABLES!$B14&amp;"|"&amp;VARIABLES!$E14</f>
        <v/>
      </c>
    </row>
    <row r="15" ht="15" customHeight="1" s="225">
      <c r="B15" s="387" t="inlineStr">
        <is>
          <t>F02</t>
        </is>
      </c>
      <c r="C15" s="388" t="inlineStr">
        <is>
          <t>Inherente</t>
        </is>
      </c>
      <c r="D15" s="389" t="inlineStr">
        <is>
          <t>Fecha de nacimiento o de constitución</t>
        </is>
      </c>
      <c r="E15" s="382" t="inlineStr">
        <is>
          <t>Persona física mayor de 60 años</t>
        </is>
      </c>
      <c r="F15" s="381" t="n">
        <v>1</v>
      </c>
      <c r="G15" s="390" t="inlineStr">
        <is>
          <t>A3 a) ii) · A4 a) ii)</t>
        </is>
      </c>
      <c r="H15" s="391">
        <f>VARIABLES!$B15&amp;"|"&amp;VARIABLES!$E15</f>
        <v/>
      </c>
    </row>
    <row r="16" ht="15" customHeight="1" s="225">
      <c r="B16" s="387" t="inlineStr">
        <is>
          <t>F02</t>
        </is>
      </c>
      <c r="C16" s="388" t="inlineStr">
        <is>
          <t>Inherente</t>
        </is>
      </c>
      <c r="D16" s="389" t="inlineStr">
        <is>
          <t>Fecha de nacimiento o de constitución</t>
        </is>
      </c>
      <c r="E16" s="382" t="inlineStr">
        <is>
          <t>Persona física menor de 23 años</t>
        </is>
      </c>
      <c r="F16" s="381" t="n">
        <v>3</v>
      </c>
      <c r="G16" s="390" t="inlineStr">
        <is>
          <t>A3 a) ii) · A4 a) ii)</t>
        </is>
      </c>
      <c r="H16" s="391">
        <f>VARIABLES!$B16&amp;"|"&amp;VARIABLES!$E16</f>
        <v/>
      </c>
    </row>
    <row r="17" ht="15" customHeight="1" s="225">
      <c r="B17" s="387" t="inlineStr">
        <is>
          <t>F02</t>
        </is>
      </c>
      <c r="C17" s="388" t="inlineStr">
        <is>
          <t>Inherente</t>
        </is>
      </c>
      <c r="D17" s="389" t="inlineStr">
        <is>
          <t>Fecha de nacimiento o de constitución</t>
        </is>
      </c>
      <c r="E17" s="382" t="inlineStr">
        <is>
          <t>Persona moral constituida hace más de 5 años</t>
        </is>
      </c>
      <c r="F17" s="381" t="n">
        <v>1</v>
      </c>
      <c r="G17" s="390" t="inlineStr">
        <is>
          <t>A3 a) ii) · A4 a) ii)</t>
        </is>
      </c>
      <c r="H17" s="391">
        <f>VARIABLES!$B17&amp;"|"&amp;VARIABLES!$E17</f>
        <v/>
      </c>
    </row>
    <row r="18" ht="15" customHeight="1" s="225">
      <c r="B18" s="387" t="inlineStr">
        <is>
          <t>F02</t>
        </is>
      </c>
      <c r="C18" s="388" t="inlineStr">
        <is>
          <t>Inherente</t>
        </is>
      </c>
      <c r="D18" s="389" t="inlineStr">
        <is>
          <t>Fecha de nacimiento o de constitución</t>
        </is>
      </c>
      <c r="E18" s="382" t="inlineStr">
        <is>
          <t>Persona moral constituida hace 2 a 5 años</t>
        </is>
      </c>
      <c r="F18" s="381" t="n">
        <v>3</v>
      </c>
      <c r="G18" s="390" t="inlineStr">
        <is>
          <t>A3 a) ii) · A4 a) ii)</t>
        </is>
      </c>
      <c r="H18" s="391">
        <f>VARIABLES!$B18&amp;"|"&amp;VARIABLES!$E18</f>
        <v/>
      </c>
    </row>
    <row r="19" ht="15" customHeight="1" s="225">
      <c r="B19" s="387" t="inlineStr">
        <is>
          <t>F02</t>
        </is>
      </c>
      <c r="C19" s="388" t="inlineStr">
        <is>
          <t>Inherente</t>
        </is>
      </c>
      <c r="D19" s="389" t="inlineStr">
        <is>
          <t>Fecha de nacimiento o de constitución</t>
        </is>
      </c>
      <c r="E19" s="382" t="inlineStr">
        <is>
          <t>Persona moral constituida hace menos de 2 años</t>
        </is>
      </c>
      <c r="F19" s="381" t="n">
        <v>5</v>
      </c>
      <c r="G19" s="390" t="inlineStr">
        <is>
          <t>A3 a) ii) · A4 a) ii)</t>
        </is>
      </c>
      <c r="H19" s="391">
        <f>VARIABLES!$B19&amp;"|"&amp;VARIABLES!$E19</f>
        <v/>
      </c>
    </row>
    <row r="20" ht="15" customHeight="1" s="225">
      <c r="B20" s="387" t="inlineStr">
        <is>
          <t>F02</t>
        </is>
      </c>
      <c r="C20" s="388" t="inlineStr">
        <is>
          <t>Inherente</t>
        </is>
      </c>
      <c r="D20" s="389" t="inlineStr">
        <is>
          <t>Fecha de nacimiento o de constitución</t>
        </is>
      </c>
      <c r="E20" s="382" t="inlineStr">
        <is>
          <t>No determinado</t>
        </is>
      </c>
      <c r="F20" s="381" t="n">
        <v>5</v>
      </c>
      <c r="G20" s="390" t="inlineStr">
        <is>
          <t>A3 a) ii) · A4 a) ii)</t>
        </is>
      </c>
      <c r="H20" s="391">
        <f>VARIABLES!$B20&amp;"|"&amp;VARIABLES!$E20</f>
        <v/>
      </c>
    </row>
    <row r="21" ht="15" customHeight="1" s="225">
      <c r="B21" s="387" t="inlineStr">
        <is>
          <t>F03</t>
        </is>
      </c>
      <c r="C21" s="388" t="inlineStr">
        <is>
          <t>Inherente</t>
        </is>
      </c>
      <c r="D21" s="389" t="inlineStr">
        <is>
          <t>Actividad, ocupación, profesión o giro</t>
        </is>
      </c>
      <c r="E21" s="382" t="inlineStr">
        <is>
          <t>Empleo asalariado o pensionado</t>
        </is>
      </c>
      <c r="F21" s="381" t="n">
        <v>1</v>
      </c>
      <c r="G21" s="390" t="inlineStr">
        <is>
          <t>A3 a) v) · A4 a) iv)</t>
        </is>
      </c>
      <c r="H21" s="391">
        <f>VARIABLES!$B21&amp;"|"&amp;VARIABLES!$E21</f>
        <v/>
      </c>
    </row>
    <row r="22" ht="15" customHeight="1" s="225">
      <c r="B22" s="387" t="inlineStr">
        <is>
          <t>F03</t>
        </is>
      </c>
      <c r="C22" s="388" t="inlineStr">
        <is>
          <t>Inherente</t>
        </is>
      </c>
      <c r="D22" s="389" t="inlineStr">
        <is>
          <t>Actividad, ocupación, profesión o giro</t>
        </is>
      </c>
      <c r="E22" s="382" t="inlineStr">
        <is>
          <t>Comercio al menudeo formal</t>
        </is>
      </c>
      <c r="F22" s="381" t="n">
        <v>1</v>
      </c>
      <c r="G22" s="390" t="inlineStr">
        <is>
          <t>A3 a) v) · A4 a) iv)</t>
        </is>
      </c>
      <c r="H22" s="391">
        <f>VARIABLES!$B22&amp;"|"&amp;VARIABLES!$E22</f>
        <v/>
      </c>
    </row>
    <row r="23" ht="15" customHeight="1" s="225">
      <c r="B23" s="387" t="inlineStr">
        <is>
          <t>F03</t>
        </is>
      </c>
      <c r="C23" s="388" t="inlineStr">
        <is>
          <t>Inherente</t>
        </is>
      </c>
      <c r="D23" s="389" t="inlineStr">
        <is>
          <t>Actividad, ocupación, profesión o giro</t>
        </is>
      </c>
      <c r="E23" s="382" t="inlineStr">
        <is>
          <t>Servicios profesionales</t>
        </is>
      </c>
      <c r="F23" s="381" t="n">
        <v>3</v>
      </c>
      <c r="G23" s="390" t="inlineStr">
        <is>
          <t>A3 a) v) · A4 a) iv)</t>
        </is>
      </c>
      <c r="H23" s="391">
        <f>VARIABLES!$B23&amp;"|"&amp;VARIABLES!$E23</f>
        <v/>
      </c>
    </row>
    <row r="24" ht="15" customHeight="1" s="225">
      <c r="B24" s="387" t="inlineStr">
        <is>
          <t>F03</t>
        </is>
      </c>
      <c r="C24" s="388" t="inlineStr">
        <is>
          <t>Inherente</t>
        </is>
      </c>
      <c r="D24" s="389" t="inlineStr">
        <is>
          <t>Actividad, ocupación, profesión o giro</t>
        </is>
      </c>
      <c r="E24" s="382" t="inlineStr">
        <is>
          <t>Construcción o desarrollo inmobiliario</t>
        </is>
      </c>
      <c r="F24" s="381" t="n">
        <v>3</v>
      </c>
      <c r="G24" s="390" t="inlineStr">
        <is>
          <t>A3 a) v) · A4 a) iv)</t>
        </is>
      </c>
      <c r="H24" s="391">
        <f>VARIABLES!$B24&amp;"|"&amp;VARIABLES!$E24</f>
        <v/>
      </c>
    </row>
    <row r="25" ht="15" customHeight="1" s="225">
      <c r="B25" s="387" t="inlineStr">
        <is>
          <t>F03</t>
        </is>
      </c>
      <c r="C25" s="388" t="inlineStr">
        <is>
          <t>Inherente</t>
        </is>
      </c>
      <c r="D25" s="389" t="inlineStr">
        <is>
          <t>Actividad, ocupación, profesión o giro</t>
        </is>
      </c>
      <c r="E25" s="382" t="inlineStr">
        <is>
          <t>Otra Actividad Vulnerable del artículo 17</t>
        </is>
      </c>
      <c r="F25" s="381" t="n">
        <v>5</v>
      </c>
      <c r="G25" s="390" t="inlineStr">
        <is>
          <t>A3 a) v) · A4 a) iv)</t>
        </is>
      </c>
      <c r="H25" s="391">
        <f>VARIABLES!$B25&amp;"|"&amp;VARIABLES!$E25</f>
        <v/>
      </c>
    </row>
    <row r="26" ht="15" customHeight="1" s="225">
      <c r="B26" s="387" t="inlineStr">
        <is>
          <t>F03</t>
        </is>
      </c>
      <c r="C26" s="388" t="inlineStr">
        <is>
          <t>Inherente</t>
        </is>
      </c>
      <c r="D26" s="389" t="inlineStr">
        <is>
          <t>Actividad, ocupación, profesión o giro</t>
        </is>
      </c>
      <c r="E26" s="382" t="inlineStr">
        <is>
          <t>Comercio de metales, joyería o arte</t>
        </is>
      </c>
      <c r="F26" s="381" t="n">
        <v>5</v>
      </c>
      <c r="G26" s="390" t="inlineStr">
        <is>
          <t>A3 a) v) · A4 a) iv)</t>
        </is>
      </c>
      <c r="H26" s="391">
        <f>VARIABLES!$B26&amp;"|"&amp;VARIABLES!$E26</f>
        <v/>
      </c>
    </row>
    <row r="27" ht="15" customHeight="1" s="225">
      <c r="B27" s="387" t="inlineStr">
        <is>
          <t>F03</t>
        </is>
      </c>
      <c r="C27" s="388" t="inlineStr">
        <is>
          <t>Inherente</t>
        </is>
      </c>
      <c r="D27" s="389" t="inlineStr">
        <is>
          <t>Actividad, ocupación, profesión o giro</t>
        </is>
      </c>
      <c r="E27" s="382" t="inlineStr">
        <is>
          <t>Fedatario público, abogado o contador</t>
        </is>
      </c>
      <c r="F27" s="381" t="n">
        <v>5</v>
      </c>
      <c r="G27" s="390" t="inlineStr">
        <is>
          <t>A3 a) v) · A4 a) iv)</t>
        </is>
      </c>
      <c r="H27" s="391">
        <f>VARIABLES!$B27&amp;"|"&amp;VARIABLES!$E27</f>
        <v/>
      </c>
    </row>
    <row r="28" ht="15" customHeight="1" s="225">
      <c r="B28" s="387" t="inlineStr">
        <is>
          <t>F03</t>
        </is>
      </c>
      <c r="C28" s="388" t="inlineStr">
        <is>
          <t>Inherente</t>
        </is>
      </c>
      <c r="D28" s="389" t="inlineStr">
        <is>
          <t>Actividad, ocupación, profesión o giro</t>
        </is>
      </c>
      <c r="E28" s="382" t="inlineStr">
        <is>
          <t>Actividad no acreditada o no determinada</t>
        </is>
      </c>
      <c r="F28" s="381" t="n">
        <v>5</v>
      </c>
      <c r="G28" s="390" t="inlineStr">
        <is>
          <t>A3 a) v) · A4 a) iv)</t>
        </is>
      </c>
      <c r="H28" s="391">
        <f>VARIABLES!$B28&amp;"|"&amp;VARIABLES!$E28</f>
        <v/>
      </c>
    </row>
    <row r="29" ht="15" customHeight="1" s="225">
      <c r="B29" s="387" t="inlineStr">
        <is>
          <t>F04</t>
        </is>
      </c>
      <c r="C29" s="388" t="inlineStr">
        <is>
          <t>Inherente</t>
        </is>
      </c>
      <c r="D29" s="389" t="inlineStr">
        <is>
          <t>País de nacionalidad</t>
        </is>
      </c>
      <c r="E29" s="382" t="inlineStr">
        <is>
          <t>Mexicana</t>
        </is>
      </c>
      <c r="F29" s="381" t="n">
        <v>1</v>
      </c>
      <c r="G29" s="390" t="inlineStr">
        <is>
          <t>A3 a) iv) · A4 a) iii)</t>
        </is>
      </c>
      <c r="H29" s="391">
        <f>VARIABLES!$B29&amp;"|"&amp;VARIABLES!$E29</f>
        <v/>
      </c>
    </row>
    <row r="30" ht="15" customHeight="1" s="225">
      <c r="B30" s="387" t="inlineStr">
        <is>
          <t>F04</t>
        </is>
      </c>
      <c r="C30" s="388" t="inlineStr">
        <is>
          <t>Inherente</t>
        </is>
      </c>
      <c r="D30" s="389" t="inlineStr">
        <is>
          <t>País de nacionalidad</t>
        </is>
      </c>
      <c r="E30" s="382" t="inlineStr">
        <is>
          <t>Extranjera de país sin señalamiento</t>
        </is>
      </c>
      <c r="F30" s="381" t="n">
        <v>3</v>
      </c>
      <c r="G30" s="390" t="inlineStr">
        <is>
          <t>A3 a) iv) · A4 a) iii)</t>
        </is>
      </c>
      <c r="H30" s="391">
        <f>VARIABLES!$B30&amp;"|"&amp;VARIABLES!$E30</f>
        <v/>
      </c>
    </row>
    <row r="31" ht="15" customHeight="1" s="225">
      <c r="B31" s="387" t="inlineStr">
        <is>
          <t>F04</t>
        </is>
      </c>
      <c r="C31" s="388" t="inlineStr">
        <is>
          <t>Inherente</t>
        </is>
      </c>
      <c r="D31" s="389" t="inlineStr">
        <is>
          <t>País de nacionalidad</t>
        </is>
      </c>
      <c r="E31" s="382" t="inlineStr">
        <is>
          <t>Extranjera de país o jurisdicción señalada por la UIF</t>
        </is>
      </c>
      <c r="F31" s="381" t="n">
        <v>5</v>
      </c>
      <c r="G31" s="390" t="inlineStr">
        <is>
          <t>A3 a) iv) · A4 a) iii)</t>
        </is>
      </c>
      <c r="H31" s="391">
        <f>VARIABLES!$B31&amp;"|"&amp;VARIABLES!$E31</f>
        <v/>
      </c>
    </row>
    <row r="32" ht="15" customHeight="1" s="225">
      <c r="B32" s="387" t="inlineStr">
        <is>
          <t>F04</t>
        </is>
      </c>
      <c r="C32" s="388" t="inlineStr">
        <is>
          <t>Inherente</t>
        </is>
      </c>
      <c r="D32" s="389" t="inlineStr">
        <is>
          <t>País de nacionalidad</t>
        </is>
      </c>
      <c r="E32" s="382" t="inlineStr">
        <is>
          <t>No determinada</t>
        </is>
      </c>
      <c r="F32" s="381" t="n">
        <v>5</v>
      </c>
      <c r="G32" s="390" t="inlineStr">
        <is>
          <t>A3 a) iv) · A4 a) iii)</t>
        </is>
      </c>
      <c r="H32" s="391">
        <f>VARIABLES!$B32&amp;"|"&amp;VARIABLES!$E32</f>
        <v/>
      </c>
    </row>
    <row r="33" ht="15" customHeight="1" s="225">
      <c r="B33" s="387" t="inlineStr">
        <is>
          <t>F05</t>
        </is>
      </c>
      <c r="C33" s="388" t="inlineStr">
        <is>
          <t>Inherente</t>
        </is>
      </c>
      <c r="D33" s="389" t="inlineStr">
        <is>
          <t>Domicilio: país y estado de residencia</t>
        </is>
      </c>
      <c r="E33" s="382" t="inlineStr">
        <is>
          <t>Residente en México, entidad federativa sin señalamiento</t>
        </is>
      </c>
      <c r="F33" s="381" t="n">
        <v>1</v>
      </c>
      <c r="G33" s="390" t="inlineStr">
        <is>
          <t>A3 a) vi) · A4 a) v)</t>
        </is>
      </c>
      <c r="H33" s="391">
        <f>VARIABLES!$B33&amp;"|"&amp;VARIABLES!$E33</f>
        <v/>
      </c>
    </row>
    <row r="34" ht="15" customHeight="1" s="225">
      <c r="B34" s="387" t="inlineStr">
        <is>
          <t>F05</t>
        </is>
      </c>
      <c r="C34" s="388" t="inlineStr">
        <is>
          <t>Inherente</t>
        </is>
      </c>
      <c r="D34" s="389" t="inlineStr">
        <is>
          <t>Domicilio: país y estado de residencia</t>
        </is>
      </c>
      <c r="E34" s="382" t="inlineStr">
        <is>
          <t>Residente en México, entidad federativa señalada en la ENR</t>
        </is>
      </c>
      <c r="F34" s="381" t="n">
        <v>3</v>
      </c>
      <c r="G34" s="390" t="inlineStr">
        <is>
          <t>A3 a) vi) · A4 a) v)</t>
        </is>
      </c>
      <c r="H34" s="391">
        <f>VARIABLES!$B34&amp;"|"&amp;VARIABLES!$E34</f>
        <v/>
      </c>
    </row>
    <row r="35" ht="15" customHeight="1" s="225">
      <c r="B35" s="387" t="inlineStr">
        <is>
          <t>F05</t>
        </is>
      </c>
      <c r="C35" s="388" t="inlineStr">
        <is>
          <t>Inherente</t>
        </is>
      </c>
      <c r="D35" s="389" t="inlineStr">
        <is>
          <t>Domicilio: país y estado de residencia</t>
        </is>
      </c>
      <c r="E35" s="382" t="inlineStr">
        <is>
          <t>Residente en el extranjero, país sin señalamiento</t>
        </is>
      </c>
      <c r="F35" s="381" t="n">
        <v>3</v>
      </c>
      <c r="G35" s="390" t="inlineStr">
        <is>
          <t>A3 a) vi) · A4 a) v)</t>
        </is>
      </c>
      <c r="H35" s="391">
        <f>VARIABLES!$B35&amp;"|"&amp;VARIABLES!$E35</f>
        <v/>
      </c>
    </row>
    <row r="36" ht="15" customHeight="1" s="225">
      <c r="B36" s="387" t="inlineStr">
        <is>
          <t>F05</t>
        </is>
      </c>
      <c r="C36" s="388" t="inlineStr">
        <is>
          <t>Inherente</t>
        </is>
      </c>
      <c r="D36" s="389" t="inlineStr">
        <is>
          <t>Domicilio: país y estado de residencia</t>
        </is>
      </c>
      <c r="E36" s="382" t="inlineStr">
        <is>
          <t>Residente en el extranjero, jurisdicción de régimen fiscal preferente o deficiente</t>
        </is>
      </c>
      <c r="F36" s="381" t="n">
        <v>5</v>
      </c>
      <c r="G36" s="390" t="inlineStr">
        <is>
          <t>A3 a) vi) · A4 a) v)</t>
        </is>
      </c>
      <c r="H36" s="391">
        <f>VARIABLES!$B36&amp;"|"&amp;VARIABLES!$E36</f>
        <v/>
      </c>
    </row>
    <row r="37" ht="15" customHeight="1" s="225">
      <c r="B37" s="387" t="inlineStr">
        <is>
          <t>F05</t>
        </is>
      </c>
      <c r="C37" s="388" t="inlineStr">
        <is>
          <t>Inherente</t>
        </is>
      </c>
      <c r="D37" s="389" t="inlineStr">
        <is>
          <t>Domicilio: país y estado de residencia</t>
        </is>
      </c>
      <c r="E37" s="382" t="inlineStr">
        <is>
          <t>No determinado</t>
        </is>
      </c>
      <c r="F37" s="381" t="n">
        <v>5</v>
      </c>
      <c r="G37" s="390" t="inlineStr">
        <is>
          <t>A3 a) vi) · A4 a) v)</t>
        </is>
      </c>
      <c r="H37" s="391">
        <f>VARIABLES!$B37&amp;"|"&amp;VARIABLES!$E37</f>
        <v/>
      </c>
    </row>
    <row r="38" ht="15" customHeight="1" s="225">
      <c r="B38" s="387" t="inlineStr">
        <is>
          <t>F06</t>
        </is>
      </c>
      <c r="C38" s="388" t="inlineStr">
        <is>
          <t>Inherente</t>
        </is>
      </c>
      <c r="D38" s="389" t="inlineStr">
        <is>
          <t>Condición de Persona Políticamente Expuesta</t>
        </is>
      </c>
      <c r="E38" s="382" t="inlineStr">
        <is>
          <t>No es Persona Políticamente Expuesta</t>
        </is>
      </c>
      <c r="F38" s="381" t="n">
        <v>1</v>
      </c>
      <c r="G38" s="390" t="inlineStr">
        <is>
          <t>Declaración del Cliente y consulta en Consulta PEP 2.0 · RCG 23 Quáter 1 · RCG 23 Bis 3 y 23 Bis 4</t>
        </is>
      </c>
      <c r="H38" s="391">
        <f>VARIABLES!$B38&amp;"|"&amp;VARIABLES!$E38</f>
        <v/>
      </c>
    </row>
    <row r="39" ht="15" customHeight="1" s="225">
      <c r="B39" s="387" t="inlineStr">
        <is>
          <t>F06</t>
        </is>
      </c>
      <c r="C39" s="388" t="inlineStr">
        <is>
          <t>Inherente</t>
        </is>
      </c>
      <c r="D39" s="389" t="inlineStr">
        <is>
          <t>Condición de Persona Políticamente Expuesta</t>
        </is>
      </c>
      <c r="E39" s="382" t="inlineStr">
        <is>
          <t>PEP nacional, comportamiento congruente con ingresos y funciones</t>
        </is>
      </c>
      <c r="F39" s="381" t="n">
        <v>3</v>
      </c>
      <c r="G39" s="390" t="inlineStr">
        <is>
          <t>Declaración del Cliente y consulta en Consulta PEP 2.0 · RCG 23 Quáter 1 · RCG 23 Bis 3 y 23 Bis 4</t>
        </is>
      </c>
      <c r="H39" s="391">
        <f>VARIABLES!$B39&amp;"|"&amp;VARIABLES!$E39</f>
        <v/>
      </c>
    </row>
    <row r="40" ht="15" customHeight="1" s="225">
      <c r="B40" s="387" t="inlineStr">
        <is>
          <t>F06</t>
        </is>
      </c>
      <c r="C40" s="388" t="inlineStr">
        <is>
          <t>Inherente</t>
        </is>
      </c>
      <c r="D40" s="389" t="inlineStr">
        <is>
          <t>Condición de Persona Políticamente Expuesta</t>
        </is>
      </c>
      <c r="E40" s="382" t="inlineStr">
        <is>
          <t>PEP nacional, comportamiento no congruente o no verificado</t>
        </is>
      </c>
      <c r="F40" s="381" t="n">
        <v>5</v>
      </c>
      <c r="G40" s="390" t="inlineStr">
        <is>
          <t>Declaración del Cliente y consulta en Consulta PEP 2.0 · RCG 23 Quáter 1 · RCG 23 Bis 3 y 23 Bis 4</t>
        </is>
      </c>
      <c r="H40" s="391">
        <f>VARIABLES!$B40&amp;"|"&amp;VARIABLES!$E40</f>
        <v/>
      </c>
    </row>
    <row r="41" ht="15" customHeight="1" s="225">
      <c r="B41" s="387" t="inlineStr">
        <is>
          <t>F06</t>
        </is>
      </c>
      <c r="C41" s="388" t="inlineStr">
        <is>
          <t>Inherente</t>
        </is>
      </c>
      <c r="D41" s="389" t="inlineStr">
        <is>
          <t>Condición de Persona Políticamente Expuesta</t>
        </is>
      </c>
      <c r="E41" s="382" t="inlineStr">
        <is>
          <t>PEP extranjera</t>
        </is>
      </c>
      <c r="F41" s="381" t="n">
        <v>5</v>
      </c>
      <c r="G41" s="390" t="inlineStr">
        <is>
          <t>Declaración del Cliente y consulta en Consulta PEP 2.0 · RCG 23 Quáter 1 · RCG 23 Bis 3 y 23 Bis 4</t>
        </is>
      </c>
      <c r="H41" s="391">
        <f>VARIABLES!$B41&amp;"|"&amp;VARIABLES!$E41</f>
        <v/>
      </c>
    </row>
    <row r="42" ht="15" customHeight="1" s="225">
      <c r="B42" s="387" t="inlineStr">
        <is>
          <t>F06</t>
        </is>
      </c>
      <c r="C42" s="388" t="inlineStr">
        <is>
          <t>Inherente</t>
        </is>
      </c>
      <c r="D42" s="389" t="inlineStr">
        <is>
          <t>Condición de Persona Políticamente Expuesta</t>
        </is>
      </c>
      <c r="E42" s="382" t="inlineStr">
        <is>
          <t>Familiar o allegado de PEP</t>
        </is>
      </c>
      <c r="F42" s="381" t="n">
        <v>3</v>
      </c>
      <c r="G42" s="390" t="inlineStr">
        <is>
          <t>Declaración del Cliente y consulta en Consulta PEP 2.0 · RCG 23 Quáter 1 · RCG 23 Bis 3 y 23 Bis 4</t>
        </is>
      </c>
      <c r="H42" s="391">
        <f>VARIABLES!$B42&amp;"|"&amp;VARIABLES!$E42</f>
        <v/>
      </c>
    </row>
    <row r="43" ht="15" customHeight="1" s="225">
      <c r="B43" s="387" t="inlineStr">
        <is>
          <t>F06</t>
        </is>
      </c>
      <c r="C43" s="388" t="inlineStr">
        <is>
          <t>Inherente</t>
        </is>
      </c>
      <c r="D43" s="389" t="inlineStr">
        <is>
          <t>Condición de Persona Políticamente Expuesta</t>
        </is>
      </c>
      <c r="E43" s="382" t="inlineStr">
        <is>
          <t>No determinado</t>
        </is>
      </c>
      <c r="F43" s="381" t="n">
        <v>5</v>
      </c>
      <c r="G43" s="390" t="inlineStr">
        <is>
          <t>Declaración del Cliente y consulta en Consulta PEP 2.0 · RCG 23 Quáter 1 · RCG 23 Bis 3 y 23 Bis 4</t>
        </is>
      </c>
      <c r="H43" s="391">
        <f>VARIABLES!$B43&amp;"|"&amp;VARIABLES!$E43</f>
        <v/>
      </c>
    </row>
    <row r="44" ht="15" customHeight="1" s="225">
      <c r="B44" s="387" t="inlineStr">
        <is>
          <t>F07</t>
        </is>
      </c>
      <c r="C44" s="388" t="inlineStr">
        <is>
          <t>Inherente</t>
        </is>
      </c>
      <c r="D44" s="389" t="inlineStr">
        <is>
          <t>Coincidencia en listas de personas bloqueadas</t>
        </is>
      </c>
      <c r="E44" s="382" t="inlineStr">
        <is>
          <t>Sin coincidencia, búsqueda documentada en la operación</t>
        </is>
      </c>
      <c r="F44" s="381" t="n">
        <v>1</v>
      </c>
      <c r="G44" s="390" t="inlineStr">
        <is>
          <t>RCG 38 · RCG 41 fr. V</t>
        </is>
      </c>
      <c r="H44" s="391">
        <f>VARIABLES!$B44&amp;"|"&amp;VARIABLES!$E44</f>
        <v/>
      </c>
    </row>
    <row r="45" ht="15" customHeight="1" s="225">
      <c r="B45" s="387" t="inlineStr">
        <is>
          <t>F07</t>
        </is>
      </c>
      <c r="C45" s="388" t="inlineStr">
        <is>
          <t>Inherente</t>
        </is>
      </c>
      <c r="D45" s="389" t="inlineStr">
        <is>
          <t>Coincidencia en listas de personas bloqueadas</t>
        </is>
      </c>
      <c r="E45" s="382" t="inlineStr">
        <is>
          <t>Coincidencia descartada con constancia (homonimia acreditada)</t>
        </is>
      </c>
      <c r="F45" s="381" t="n">
        <v>3</v>
      </c>
      <c r="G45" s="390" t="inlineStr">
        <is>
          <t>RCG 38 · RCG 41 fr. V</t>
        </is>
      </c>
      <c r="H45" s="391">
        <f>VARIABLES!$B45&amp;"|"&amp;VARIABLES!$E45</f>
        <v/>
      </c>
    </row>
    <row r="46" ht="15" customHeight="1" s="225">
      <c r="B46" s="387" t="inlineStr">
        <is>
          <t>F07</t>
        </is>
      </c>
      <c r="C46" s="388" t="inlineStr">
        <is>
          <t>Inherente</t>
        </is>
      </c>
      <c r="D46" s="389" t="inlineStr">
        <is>
          <t>Coincidencia en listas de personas bloqueadas</t>
        </is>
      </c>
      <c r="E46" s="382" t="inlineStr">
        <is>
          <t>Coincidencia positiva en lista de personas bloqueadas o de sanciones</t>
        </is>
      </c>
      <c r="F46" s="381" t="n">
        <v>5</v>
      </c>
      <c r="G46" s="390" t="inlineStr">
        <is>
          <t>RCG 38 · RCG 41 fr. V</t>
        </is>
      </c>
      <c r="H46" s="391">
        <f>VARIABLES!$B46&amp;"|"&amp;VARIABLES!$E46</f>
        <v/>
      </c>
    </row>
    <row r="47" ht="15" customHeight="1" s="225">
      <c r="B47" s="387" t="inlineStr">
        <is>
          <t>F07</t>
        </is>
      </c>
      <c r="C47" s="388" t="inlineStr">
        <is>
          <t>Inherente</t>
        </is>
      </c>
      <c r="D47" s="389" t="inlineStr">
        <is>
          <t>Coincidencia en listas de personas bloqueadas</t>
        </is>
      </c>
      <c r="E47" s="382" t="inlineStr">
        <is>
          <t>Búsqueda no realizada o sin constancia</t>
        </is>
      </c>
      <c r="F47" s="381" t="n">
        <v>5</v>
      </c>
      <c r="G47" s="390" t="inlineStr">
        <is>
          <t>RCG 38 · RCG 41 fr. V</t>
        </is>
      </c>
      <c r="H47" s="391">
        <f>VARIABLES!$B47&amp;"|"&amp;VARIABLES!$E47</f>
        <v/>
      </c>
    </row>
    <row r="48" ht="15" customHeight="1" s="225">
      <c r="B48" s="387" t="inlineStr">
        <is>
          <t>F08</t>
        </is>
      </c>
      <c r="C48" s="388" t="inlineStr">
        <is>
          <t>Inherente</t>
        </is>
      </c>
      <c r="D48" s="389" t="inlineStr">
        <is>
          <t>Beneficiario Controlador</t>
        </is>
      </c>
      <c r="E48" s="382" t="inlineStr">
        <is>
          <t>Sin cadena de control: el Cliente es su propio Beneficiario Controlador</t>
        </is>
      </c>
      <c r="F48" s="381" t="n">
        <v>1</v>
      </c>
      <c r="G48" s="390" t="inlineStr">
        <is>
          <t>A3 b) iv) · A4 b) v) · A8 b) iv)</t>
        </is>
      </c>
      <c r="H48" s="391">
        <f>VARIABLES!$B48&amp;"|"&amp;VARIABLES!$E48</f>
        <v/>
      </c>
    </row>
    <row r="49" ht="15" customHeight="1" s="225">
      <c r="B49" s="387" t="inlineStr">
        <is>
          <t>F08</t>
        </is>
      </c>
      <c r="C49" s="388" t="inlineStr">
        <is>
          <t>Inherente</t>
        </is>
      </c>
      <c r="D49" s="389" t="inlineStr">
        <is>
          <t>Beneficiario Controlador</t>
        </is>
      </c>
      <c r="E49" s="382" t="inlineStr">
        <is>
          <t>Beneficiario Controlador identificado, cadena de un nivel</t>
        </is>
      </c>
      <c r="F49" s="381" t="n">
        <v>1</v>
      </c>
      <c r="G49" s="390" t="inlineStr">
        <is>
          <t>A3 b) iv) · A4 b) v) · A8 b) iv)</t>
        </is>
      </c>
      <c r="H49" s="391">
        <f>VARIABLES!$B49&amp;"|"&amp;VARIABLES!$E49</f>
        <v/>
      </c>
    </row>
    <row r="50" ht="15" customHeight="1" s="225">
      <c r="B50" s="387" t="inlineStr">
        <is>
          <t>F08</t>
        </is>
      </c>
      <c r="C50" s="388" t="inlineStr">
        <is>
          <t>Inherente</t>
        </is>
      </c>
      <c r="D50" s="389" t="inlineStr">
        <is>
          <t>Beneficiario Controlador</t>
        </is>
      </c>
      <c r="E50" s="382" t="inlineStr">
        <is>
          <t>Beneficiario Controlador identificado, cadena de dos o más niveles</t>
        </is>
      </c>
      <c r="F50" s="381" t="n">
        <v>3</v>
      </c>
      <c r="G50" s="390" t="inlineStr">
        <is>
          <t>A3 b) iv) · A4 b) v) · A8 b) iv)</t>
        </is>
      </c>
      <c r="H50" s="391">
        <f>VARIABLES!$B50&amp;"|"&amp;VARIABLES!$E50</f>
        <v/>
      </c>
    </row>
    <row r="51" ht="15" customHeight="1" s="225">
      <c r="B51" s="387" t="inlineStr">
        <is>
          <t>F08</t>
        </is>
      </c>
      <c r="C51" s="388" t="inlineStr">
        <is>
          <t>Inherente</t>
        </is>
      </c>
      <c r="D51" s="389" t="inlineStr">
        <is>
          <t>Beneficiario Controlador</t>
        </is>
      </c>
      <c r="E51" s="382" t="inlineStr">
        <is>
          <t>Se declara no tener conocimiento de Beneficiario Controlador</t>
        </is>
      </c>
      <c r="F51" s="381" t="n">
        <v>5</v>
      </c>
      <c r="G51" s="390" t="inlineStr">
        <is>
          <t>A3 b) iv) · A4 b) v) · A8 b) iv)</t>
        </is>
      </c>
      <c r="H51" s="391">
        <f>VARIABLES!$B51&amp;"|"&amp;VARIABLES!$E51</f>
        <v/>
      </c>
    </row>
    <row r="52" ht="15" customHeight="1" s="225">
      <c r="B52" s="387" t="inlineStr">
        <is>
          <t>F08</t>
        </is>
      </c>
      <c r="C52" s="388" t="inlineStr">
        <is>
          <t>Inherente</t>
        </is>
      </c>
      <c r="D52" s="389" t="inlineStr">
        <is>
          <t>Beneficiario Controlador</t>
        </is>
      </c>
      <c r="E52" s="382" t="inlineStr">
        <is>
          <t>Beneficiario Controlador no identificado o cadena no acreditable</t>
        </is>
      </c>
      <c r="F52" s="381" t="n">
        <v>5</v>
      </c>
      <c r="G52" s="390" t="inlineStr">
        <is>
          <t>A3 b) iv) · A4 b) v) · A8 b) iv)</t>
        </is>
      </c>
      <c r="H52" s="391">
        <f>VARIABLES!$B52&amp;"|"&amp;VARIABLES!$E52</f>
        <v/>
      </c>
    </row>
    <row r="53" ht="15" customHeight="1" s="225">
      <c r="B53" s="387" t="inlineStr">
        <is>
          <t>F09</t>
        </is>
      </c>
      <c r="C53" s="388" t="inlineStr">
        <is>
          <t>Inherente</t>
        </is>
      </c>
      <c r="D53" s="389" t="inlineStr">
        <is>
          <t>Fuente de los ingresos</t>
        </is>
      </c>
      <c r="E53" s="382" t="inlineStr">
        <is>
          <t>Sueldos o actividad empresarial acreditada documentalmente</t>
        </is>
      </c>
      <c r="F53" s="381" t="n">
        <v>1</v>
      </c>
      <c r="G53" s="390" t="inlineStr">
        <is>
          <t>A3 a) v) · declarada por el Cliente</t>
        </is>
      </c>
      <c r="H53" s="391">
        <f>VARIABLES!$B53&amp;"|"&amp;VARIABLES!$E53</f>
        <v/>
      </c>
    </row>
    <row r="54" ht="15" customHeight="1" s="225">
      <c r="B54" s="387" t="inlineStr">
        <is>
          <t>F09</t>
        </is>
      </c>
      <c r="C54" s="388" t="inlineStr">
        <is>
          <t>Inherente</t>
        </is>
      </c>
      <c r="D54" s="389" t="inlineStr">
        <is>
          <t>Fuente de los ingresos</t>
        </is>
      </c>
      <c r="E54" s="382" t="inlineStr">
        <is>
          <t>Ingresos acreditados parcialmente</t>
        </is>
      </c>
      <c r="F54" s="381" t="n">
        <v>3</v>
      </c>
      <c r="G54" s="390" t="inlineStr">
        <is>
          <t>A3 a) v) · declarada por el Cliente</t>
        </is>
      </c>
      <c r="H54" s="391">
        <f>VARIABLES!$B54&amp;"|"&amp;VARIABLES!$E54</f>
        <v/>
      </c>
    </row>
    <row r="55" ht="15" customHeight="1" s="225">
      <c r="B55" s="387" t="inlineStr">
        <is>
          <t>F09</t>
        </is>
      </c>
      <c r="C55" s="388" t="inlineStr">
        <is>
          <t>Inherente</t>
        </is>
      </c>
      <c r="D55" s="389" t="inlineStr">
        <is>
          <t>Fuente de los ingresos</t>
        </is>
      </c>
      <c r="E55" s="382" t="inlineStr">
        <is>
          <t>Ingresos declarados sin soporte documental</t>
        </is>
      </c>
      <c r="F55" s="381" t="n">
        <v>5</v>
      </c>
      <c r="G55" s="390" t="inlineStr">
        <is>
          <t>A3 a) v) · declarada por el Cliente</t>
        </is>
      </c>
      <c r="H55" s="391">
        <f>VARIABLES!$B55&amp;"|"&amp;VARIABLES!$E55</f>
        <v/>
      </c>
    </row>
    <row r="56" ht="15" customHeight="1" s="225">
      <c r="B56" s="387" t="inlineStr">
        <is>
          <t>F09</t>
        </is>
      </c>
      <c r="C56" s="388" t="inlineStr">
        <is>
          <t>Inherente</t>
        </is>
      </c>
      <c r="D56" s="389" t="inlineStr">
        <is>
          <t>Fuente de los ingresos</t>
        </is>
      </c>
      <c r="E56" s="382" t="inlineStr">
        <is>
          <t>Fuente de ingresos no manifestada</t>
        </is>
      </c>
      <c r="F56" s="381" t="n">
        <v>5</v>
      </c>
      <c r="G56" s="390" t="inlineStr">
        <is>
          <t>A3 a) v) · declarada por el Cliente</t>
        </is>
      </c>
      <c r="H56" s="391">
        <f>VARIABLES!$B56&amp;"|"&amp;VARIABLES!$E56</f>
        <v/>
      </c>
    </row>
    <row r="57" ht="15" customHeight="1" s="225">
      <c r="B57" s="387" t="inlineStr">
        <is>
          <t>F10</t>
        </is>
      </c>
      <c r="C57" s="388" t="inlineStr">
        <is>
          <t>Inherente</t>
        </is>
      </c>
      <c r="D57" s="389" t="inlineStr">
        <is>
          <t>Naturaleza y propósito de la relación</t>
        </is>
      </c>
      <c r="E57" s="382" t="inlineStr">
        <is>
          <t>Relación de Negocios de largo plazo, propósito claro y documentado</t>
        </is>
      </c>
      <c r="F57" s="381" t="n">
        <v>1</v>
      </c>
      <c r="G57" s="390" t="inlineStr">
        <is>
          <t>Perfil transaccional · RCG 23 Ter 1</t>
        </is>
      </c>
      <c r="H57" s="391">
        <f>VARIABLES!$B57&amp;"|"&amp;VARIABLES!$E57</f>
        <v/>
      </c>
    </row>
    <row r="58" ht="15" customHeight="1" s="225">
      <c r="B58" s="387" t="inlineStr">
        <is>
          <t>F10</t>
        </is>
      </c>
      <c r="C58" s="388" t="inlineStr">
        <is>
          <t>Inherente</t>
        </is>
      </c>
      <c r="D58" s="389" t="inlineStr">
        <is>
          <t>Naturaleza y propósito de la relación</t>
        </is>
      </c>
      <c r="E58" s="382" t="inlineStr">
        <is>
          <t>Cliente ocasional, un solo acto u operación</t>
        </is>
      </c>
      <c r="F58" s="381" t="n">
        <v>3</v>
      </c>
      <c r="G58" s="390" t="inlineStr">
        <is>
          <t>Perfil transaccional · RCG 23 Ter 1</t>
        </is>
      </c>
      <c r="H58" s="391">
        <f>VARIABLES!$B58&amp;"|"&amp;VARIABLES!$E58</f>
        <v/>
      </c>
    </row>
    <row r="59" ht="15" customHeight="1" s="225">
      <c r="B59" s="387" t="inlineStr">
        <is>
          <t>F10</t>
        </is>
      </c>
      <c r="C59" s="388" t="inlineStr">
        <is>
          <t>Inherente</t>
        </is>
      </c>
      <c r="D59" s="389" t="inlineStr">
        <is>
          <t>Naturaleza y propósito de la relación</t>
        </is>
      </c>
      <c r="E59" s="382" t="inlineStr">
        <is>
          <t>Propósito declarado que no corresponde con el perfil del Cliente</t>
        </is>
      </c>
      <c r="F59" s="381" t="n">
        <v>5</v>
      </c>
      <c r="G59" s="390" t="inlineStr">
        <is>
          <t>Perfil transaccional · RCG 23 Ter 1</t>
        </is>
      </c>
      <c r="H59" s="391">
        <f>VARIABLES!$B59&amp;"|"&amp;VARIABLES!$E59</f>
        <v/>
      </c>
    </row>
    <row r="60" ht="15" customHeight="1" s="225">
      <c r="B60" s="387" t="inlineStr">
        <is>
          <t>F10</t>
        </is>
      </c>
      <c r="C60" s="388" t="inlineStr">
        <is>
          <t>Inherente</t>
        </is>
      </c>
      <c r="D60" s="389" t="inlineStr">
        <is>
          <t>Naturaleza y propósito de la relación</t>
        </is>
      </c>
      <c r="E60" s="382" t="inlineStr">
        <is>
          <t>Propósito no manifestado</t>
        </is>
      </c>
      <c r="F60" s="381" t="n">
        <v>5</v>
      </c>
      <c r="G60" s="390" t="inlineStr">
        <is>
          <t>Perfil transaccional · RCG 23 Ter 1</t>
        </is>
      </c>
      <c r="H60" s="391">
        <f>VARIABLES!$B60&amp;"|"&amp;VARIABLES!$E60</f>
        <v/>
      </c>
    </row>
    <row r="61" ht="15" customHeight="1" s="225">
      <c r="B61" s="387" t="inlineStr">
        <is>
          <t>F12</t>
        </is>
      </c>
      <c r="C61" s="388" t="inlineStr">
        <is>
          <t>Transaccional</t>
        </is>
      </c>
      <c r="D61" s="389" t="inlineStr">
        <is>
          <t>Monto frente al Perfil transaccional y umbrales</t>
        </is>
      </c>
      <c r="E61" s="382" t="inlineStr">
        <is>
          <t>Por debajo del umbral de identificación</t>
        </is>
      </c>
      <c r="F61" s="381" t="n">
        <v>1</v>
      </c>
      <c r="G61" s="390" t="inlineStr">
        <is>
          <t>RCG 23 Ter 1 · L 17</t>
        </is>
      </c>
      <c r="H61" s="391">
        <f>VARIABLES!$B61&amp;"|"&amp;VARIABLES!$E61</f>
        <v/>
      </c>
    </row>
    <row r="62" ht="15" customHeight="1" s="225">
      <c r="B62" s="387" t="inlineStr">
        <is>
          <t>F12</t>
        </is>
      </c>
      <c r="C62" s="388" t="inlineStr">
        <is>
          <t>Transaccional</t>
        </is>
      </c>
      <c r="D62" s="389" t="inlineStr">
        <is>
          <t>Monto frente al Perfil transaccional y umbrales</t>
        </is>
      </c>
      <c r="E62" s="382" t="inlineStr">
        <is>
          <t>Entre el umbral de identificación y el de aviso</t>
        </is>
      </c>
      <c r="F62" s="381" t="n">
        <v>3</v>
      </c>
      <c r="G62" s="390" t="inlineStr">
        <is>
          <t>RCG 23 Ter 1 · L 17</t>
        </is>
      </c>
      <c r="H62" s="391">
        <f>VARIABLES!$B62&amp;"|"&amp;VARIABLES!$E62</f>
        <v/>
      </c>
    </row>
    <row r="63" ht="15" customHeight="1" s="225">
      <c r="B63" s="387" t="inlineStr">
        <is>
          <t>F12</t>
        </is>
      </c>
      <c r="C63" s="388" t="inlineStr">
        <is>
          <t>Transaccional</t>
        </is>
      </c>
      <c r="D63" s="389" t="inlineStr">
        <is>
          <t>Monto frente al Perfil transaccional y umbrales</t>
        </is>
      </c>
      <c r="E63" s="382" t="inlineStr">
        <is>
          <t>Igual o superior al umbral de aviso</t>
        </is>
      </c>
      <c r="F63" s="381" t="n">
        <v>5</v>
      </c>
      <c r="G63" s="390" t="inlineStr">
        <is>
          <t>RCG 23 Ter 1 · L 17</t>
        </is>
      </c>
      <c r="H63" s="391">
        <f>VARIABLES!$B63&amp;"|"&amp;VARIABLES!$E63</f>
        <v/>
      </c>
    </row>
    <row r="64" ht="15" customHeight="1" s="225">
      <c r="B64" s="387" t="inlineStr">
        <is>
          <t>F12</t>
        </is>
      </c>
      <c r="C64" s="388" t="inlineStr">
        <is>
          <t>Transaccional</t>
        </is>
      </c>
      <c r="D64" s="389" t="inlineStr">
        <is>
          <t>Monto frente al Perfil transaccional y umbrales</t>
        </is>
      </c>
      <c r="E64" s="382" t="inlineStr">
        <is>
          <t>Por debajo del umbral pero con acumulación que lo alcanza</t>
        </is>
      </c>
      <c r="F64" s="381" t="n">
        <v>5</v>
      </c>
      <c r="G64" s="390" t="inlineStr">
        <is>
          <t>RCG 23 Ter 1 · L 17</t>
        </is>
      </c>
      <c r="H64" s="391">
        <f>VARIABLES!$B64&amp;"|"&amp;VARIABLES!$E64</f>
        <v/>
      </c>
    </row>
    <row r="65" ht="15" customHeight="1" s="225">
      <c r="B65" s="387" t="inlineStr">
        <is>
          <t>F12</t>
        </is>
      </c>
      <c r="C65" s="388" t="inlineStr">
        <is>
          <t>Transaccional</t>
        </is>
      </c>
      <c r="D65" s="389" t="inlineStr">
        <is>
          <t>Monto frente al Perfil transaccional y umbrales</t>
        </is>
      </c>
      <c r="E65" s="382" t="inlineStr">
        <is>
          <t>Más del doble del umbral de aviso</t>
        </is>
      </c>
      <c r="F65" s="381" t="n">
        <v>5</v>
      </c>
      <c r="G65" s="390" t="inlineStr">
        <is>
          <t>RCG 23 Ter 1 · L 17</t>
        </is>
      </c>
      <c r="H65" s="391">
        <f>VARIABLES!$B65&amp;"|"&amp;VARIABLES!$E65</f>
        <v/>
      </c>
    </row>
    <row r="66" ht="15" customHeight="1" s="225">
      <c r="B66" s="387" t="inlineStr">
        <is>
          <t>F13</t>
        </is>
      </c>
      <c r="C66" s="388" t="inlineStr">
        <is>
          <t>Transaccional</t>
        </is>
      </c>
      <c r="D66" s="389" t="inlineStr">
        <is>
          <t>Número y frecuencia de las operaciones</t>
        </is>
      </c>
      <c r="E66" s="382" t="inlineStr">
        <is>
          <t>Una sola operación en el periodo</t>
        </is>
      </c>
      <c r="F66" s="381" t="n">
        <v>1</v>
      </c>
      <c r="G66" s="390" t="inlineStr">
        <is>
          <t>Mecanismo automatizado · criterio propio: el 23 Bis 2 fr. II es lista abierta</t>
        </is>
      </c>
      <c r="H66" s="391">
        <f>VARIABLES!$B66&amp;"|"&amp;VARIABLES!$E66</f>
        <v/>
      </c>
    </row>
    <row r="67" ht="15" customHeight="1" s="225">
      <c r="B67" s="387" t="inlineStr">
        <is>
          <t>F13</t>
        </is>
      </c>
      <c r="C67" s="388" t="inlineStr">
        <is>
          <t>Transaccional</t>
        </is>
      </c>
      <c r="D67" s="389" t="inlineStr">
        <is>
          <t>Número y frecuencia de las operaciones</t>
        </is>
      </c>
      <c r="E67" s="382" t="inlineStr">
        <is>
          <t>De dos a cuatro operaciones al año</t>
        </is>
      </c>
      <c r="F67" s="381" t="n">
        <v>3</v>
      </c>
      <c r="G67" s="390" t="inlineStr">
        <is>
          <t>Mecanismo automatizado · criterio propio: el 23 Bis 2 fr. II es lista abierta</t>
        </is>
      </c>
      <c r="H67" s="391">
        <f>VARIABLES!$B67&amp;"|"&amp;VARIABLES!$E67</f>
        <v/>
      </c>
    </row>
    <row r="68" ht="15" customHeight="1" s="225">
      <c r="B68" s="387" t="inlineStr">
        <is>
          <t>F13</t>
        </is>
      </c>
      <c r="C68" s="388" t="inlineStr">
        <is>
          <t>Transaccional</t>
        </is>
      </c>
      <c r="D68" s="389" t="inlineStr">
        <is>
          <t>Número y frecuencia de las operaciones</t>
        </is>
      </c>
      <c r="E68" s="382" t="inlineStr">
        <is>
          <t>Cinco o más operaciones al año</t>
        </is>
      </c>
      <c r="F68" s="381" t="n">
        <v>5</v>
      </c>
      <c r="G68" s="390" t="inlineStr">
        <is>
          <t>Mecanismo automatizado · criterio propio: el 23 Bis 2 fr. II es lista abierta</t>
        </is>
      </c>
      <c r="H68" s="391">
        <f>VARIABLES!$B68&amp;"|"&amp;VARIABLES!$E68</f>
        <v/>
      </c>
    </row>
    <row r="69" ht="15" customHeight="1" s="225">
      <c r="B69" s="387" t="inlineStr">
        <is>
          <t>F13</t>
        </is>
      </c>
      <c r="C69" s="388" t="inlineStr">
        <is>
          <t>Transaccional</t>
        </is>
      </c>
      <c r="D69" s="389" t="inlineStr">
        <is>
          <t>Número y frecuencia de las operaciones</t>
        </is>
      </c>
      <c r="E69" s="382" t="inlineStr">
        <is>
          <t>Operaciones en intervalos cortos y regulares</t>
        </is>
      </c>
      <c r="F69" s="381" t="n">
        <v>5</v>
      </c>
      <c r="G69" s="390" t="inlineStr">
        <is>
          <t>Mecanismo automatizado · criterio propio: el 23 Bis 2 fr. II es lista abierta</t>
        </is>
      </c>
      <c r="H69" s="391">
        <f>VARIABLES!$B69&amp;"|"&amp;VARIABLES!$E69</f>
        <v/>
      </c>
    </row>
    <row r="70" ht="15" customHeight="1" s="225">
      <c r="B70" s="387" t="inlineStr">
        <is>
          <t>F13</t>
        </is>
      </c>
      <c r="C70" s="388" t="inlineStr">
        <is>
          <t>Transaccional</t>
        </is>
      </c>
      <c r="D70" s="389" t="inlineStr">
        <is>
          <t>Número y frecuencia de las operaciones</t>
        </is>
      </c>
      <c r="E70" s="382" t="inlineStr">
        <is>
          <t>No determinado</t>
        </is>
      </c>
      <c r="F70" s="381" t="n">
        <v>5</v>
      </c>
      <c r="G70" s="390" t="inlineStr">
        <is>
          <t>Mecanismo automatizado · criterio propio: el 23 Bis 2 fr. II es lista abierta</t>
        </is>
      </c>
      <c r="H70" s="391">
        <f>VARIABLES!$B70&amp;"|"&amp;VARIABLES!$E70</f>
        <v/>
      </c>
    </row>
    <row r="71" ht="15" customHeight="1" s="225">
      <c r="B71" s="387" t="inlineStr">
        <is>
          <t>F14</t>
        </is>
      </c>
      <c r="C71" s="388" t="inlineStr">
        <is>
          <t>Transaccional</t>
        </is>
      </c>
      <c r="D71" s="389" t="inlineStr">
        <is>
          <t>Número de contrapartes</t>
        </is>
      </c>
      <c r="E71" s="382" t="inlineStr">
        <is>
          <t>Una contraparte, el propio Cliente</t>
        </is>
      </c>
      <c r="F71" s="381" t="n">
        <v>1</v>
      </c>
      <c r="G71" s="390" t="inlineStr">
        <is>
          <t>Registro de operaciones</t>
        </is>
      </c>
      <c r="H71" s="391">
        <f>VARIABLES!$B71&amp;"|"&amp;VARIABLES!$E71</f>
        <v/>
      </c>
    </row>
    <row r="72" ht="15" customHeight="1" s="225">
      <c r="B72" s="387" t="inlineStr">
        <is>
          <t>F14</t>
        </is>
      </c>
      <c r="C72" s="388" t="inlineStr">
        <is>
          <t>Transaccional</t>
        </is>
      </c>
      <c r="D72" s="389" t="inlineStr">
        <is>
          <t>Número de contrapartes</t>
        </is>
      </c>
      <c r="E72" s="382" t="inlineStr">
        <is>
          <t>De dos a tres contrapartes</t>
        </is>
      </c>
      <c r="F72" s="381" t="n">
        <v>3</v>
      </c>
      <c r="G72" s="390" t="inlineStr">
        <is>
          <t>Registro de operaciones</t>
        </is>
      </c>
      <c r="H72" s="391">
        <f>VARIABLES!$B72&amp;"|"&amp;VARIABLES!$E72</f>
        <v/>
      </c>
    </row>
    <row r="73" ht="15" customHeight="1" s="225">
      <c r="B73" s="387" t="inlineStr">
        <is>
          <t>F14</t>
        </is>
      </c>
      <c r="C73" s="388" t="inlineStr">
        <is>
          <t>Transaccional</t>
        </is>
      </c>
      <c r="D73" s="389" t="inlineStr">
        <is>
          <t>Número de contrapartes</t>
        </is>
      </c>
      <c r="E73" s="382" t="inlineStr">
        <is>
          <t>Más de tres contrapartes</t>
        </is>
      </c>
      <c r="F73" s="381" t="n">
        <v>5</v>
      </c>
      <c r="G73" s="390" t="inlineStr">
        <is>
          <t>Registro de operaciones</t>
        </is>
      </c>
      <c r="H73" s="391">
        <f>VARIABLES!$B73&amp;"|"&amp;VARIABLES!$E73</f>
        <v/>
      </c>
    </row>
    <row r="74" ht="15" customHeight="1" s="225">
      <c r="B74" s="387" t="inlineStr">
        <is>
          <t>F14</t>
        </is>
      </c>
      <c r="C74" s="388" t="inlineStr">
        <is>
          <t>Transaccional</t>
        </is>
      </c>
      <c r="D74" s="389" t="inlineStr">
        <is>
          <t>Número de contrapartes</t>
        </is>
      </c>
      <c r="E74" s="382" t="inlineStr">
        <is>
          <t>Contrapartes no identificadas</t>
        </is>
      </c>
      <c r="F74" s="381" t="n">
        <v>5</v>
      </c>
      <c r="G74" s="390" t="inlineStr">
        <is>
          <t>Registro de operaciones</t>
        </is>
      </c>
      <c r="H74" s="391">
        <f>VARIABLES!$B74&amp;"|"&amp;VARIABLES!$E74</f>
        <v/>
      </c>
    </row>
    <row r="75" ht="15" customHeight="1" s="225">
      <c r="B75" s="387" t="inlineStr">
        <is>
          <t>F15</t>
        </is>
      </c>
      <c r="C75" s="388" t="inlineStr">
        <is>
          <t>Transaccional</t>
        </is>
      </c>
      <c r="D75" s="389" t="inlineStr">
        <is>
          <t>Instrumento monetario</t>
        </is>
      </c>
      <c r="E75" s="382" t="inlineStr">
        <is>
          <t>Transferencia electrónica desde cuenta a nombre del Cliente</t>
        </is>
      </c>
      <c r="F75" s="381" t="n">
        <v>1</v>
      </c>
      <c r="G75" s="390" t="inlineStr">
        <is>
          <t>Registro de la operación · Aviso</t>
        </is>
      </c>
      <c r="H75" s="391">
        <f>VARIABLES!$B75&amp;"|"&amp;VARIABLES!$E75</f>
        <v/>
      </c>
    </row>
    <row r="76" ht="15" customHeight="1" s="225">
      <c r="B76" s="387" t="inlineStr">
        <is>
          <t>F15</t>
        </is>
      </c>
      <c r="C76" s="388" t="inlineStr">
        <is>
          <t>Transaccional</t>
        </is>
      </c>
      <c r="D76" s="389" t="inlineStr">
        <is>
          <t>Instrumento monetario</t>
        </is>
      </c>
      <c r="E76" s="382" t="inlineStr">
        <is>
          <t>Cheque nominativo del Cliente</t>
        </is>
      </c>
      <c r="F76" s="381" t="n">
        <v>1</v>
      </c>
      <c r="G76" s="390" t="inlineStr">
        <is>
          <t>Registro de la operación · Aviso</t>
        </is>
      </c>
      <c r="H76" s="391">
        <f>VARIABLES!$B76&amp;"|"&amp;VARIABLES!$E76</f>
        <v/>
      </c>
    </row>
    <row r="77" ht="15" customHeight="1" s="225">
      <c r="B77" s="387" t="inlineStr">
        <is>
          <t>F15</t>
        </is>
      </c>
      <c r="C77" s="388" t="inlineStr">
        <is>
          <t>Transaccional</t>
        </is>
      </c>
      <c r="D77" s="389" t="inlineStr">
        <is>
          <t>Instrumento monetario</t>
        </is>
      </c>
      <c r="E77" s="382" t="inlineStr">
        <is>
          <t>Pago mixto con componente en efectivo</t>
        </is>
      </c>
      <c r="F77" s="381" t="n">
        <v>3</v>
      </c>
      <c r="G77" s="390" t="inlineStr">
        <is>
          <t>Registro de la operación · Aviso</t>
        </is>
      </c>
      <c r="H77" s="391">
        <f>VARIABLES!$B77&amp;"|"&amp;VARIABLES!$E77</f>
        <v/>
      </c>
    </row>
    <row r="78" ht="15" customHeight="1" s="225">
      <c r="B78" s="387" t="inlineStr">
        <is>
          <t>F15</t>
        </is>
      </c>
      <c r="C78" s="388" t="inlineStr">
        <is>
          <t>Transaccional</t>
        </is>
      </c>
      <c r="D78" s="389" t="inlineStr">
        <is>
          <t>Instrumento monetario</t>
        </is>
      </c>
      <c r="E78" s="382" t="inlineStr">
        <is>
          <t>Efectivo por encima del umbral interno</t>
        </is>
      </c>
      <c r="F78" s="381" t="n">
        <v>5</v>
      </c>
      <c r="G78" s="390" t="inlineStr">
        <is>
          <t>Registro de la operación · Aviso</t>
        </is>
      </c>
      <c r="H78" s="391">
        <f>VARIABLES!$B78&amp;"|"&amp;VARIABLES!$E78</f>
        <v/>
      </c>
    </row>
    <row r="79" ht="15" customHeight="1" s="225">
      <c r="B79" s="387" t="inlineStr">
        <is>
          <t>F15</t>
        </is>
      </c>
      <c r="C79" s="388" t="inlineStr">
        <is>
          <t>Transaccional</t>
        </is>
      </c>
      <c r="D79" s="389" t="inlineStr">
        <is>
          <t>Instrumento monetario</t>
        </is>
      </c>
      <c r="E79" s="382" t="inlineStr">
        <is>
          <t>Instrumento al portador (cheque al portador u orden de pago)</t>
        </is>
      </c>
      <c r="F79" s="381" t="n">
        <v>5</v>
      </c>
      <c r="G79" s="390" t="inlineStr">
        <is>
          <t>Registro de la operación · Aviso</t>
        </is>
      </c>
      <c r="H79" s="391">
        <f>VARIABLES!$B79&amp;"|"&amp;VARIABLES!$E79</f>
        <v/>
      </c>
    </row>
    <row r="80" ht="15" customHeight="1" s="225">
      <c r="B80" s="387" t="inlineStr">
        <is>
          <t>F15</t>
        </is>
      </c>
      <c r="C80" s="388" t="inlineStr">
        <is>
          <t>Transaccional</t>
        </is>
      </c>
      <c r="D80" s="389" t="inlineStr">
        <is>
          <t>Instrumento monetario</t>
        </is>
      </c>
      <c r="E80" s="382" t="inlineStr">
        <is>
          <t>Pago en especie o con bienes entregados como contraprestación</t>
        </is>
      </c>
      <c r="F80" s="381" t="n">
        <v>5</v>
      </c>
      <c r="G80" s="390" t="inlineStr">
        <is>
          <t>Registro de la operación · Aviso</t>
        </is>
      </c>
      <c r="H80" s="391">
        <f>VARIABLES!$B80&amp;"|"&amp;VARIABLES!$E80</f>
        <v/>
      </c>
    </row>
    <row r="81" ht="15" customHeight="1" s="225">
      <c r="B81" s="387" t="inlineStr">
        <is>
          <t>F16</t>
        </is>
      </c>
      <c r="C81" s="388" t="inlineStr">
        <is>
          <t>Transaccional</t>
        </is>
      </c>
      <c r="D81" s="389" t="inlineStr">
        <is>
          <t>Tipo de moneda</t>
        </is>
      </c>
      <c r="E81" s="382" t="inlineStr">
        <is>
          <t>Peso mexicano</t>
        </is>
      </c>
      <c r="F81" s="381" t="n">
        <v>1</v>
      </c>
      <c r="G81" s="390" t="inlineStr">
        <is>
          <t>Registro de la operación · Aviso</t>
        </is>
      </c>
      <c r="H81" s="391">
        <f>VARIABLES!$B81&amp;"|"&amp;VARIABLES!$E81</f>
        <v/>
      </c>
    </row>
    <row r="82" ht="15" customHeight="1" s="225">
      <c r="B82" s="387" t="inlineStr">
        <is>
          <t>F16</t>
        </is>
      </c>
      <c r="C82" s="388" t="inlineStr">
        <is>
          <t>Transaccional</t>
        </is>
      </c>
      <c r="D82" s="389" t="inlineStr">
        <is>
          <t>Tipo de moneda</t>
        </is>
      </c>
      <c r="E82" s="382" t="inlineStr">
        <is>
          <t>Dólar estadounidense o euro</t>
        </is>
      </c>
      <c r="F82" s="381" t="n">
        <v>3</v>
      </c>
      <c r="G82" s="390" t="inlineStr">
        <is>
          <t>Registro de la operación · Aviso</t>
        </is>
      </c>
      <c r="H82" s="391">
        <f>VARIABLES!$B82&amp;"|"&amp;VARIABLES!$E82</f>
        <v/>
      </c>
    </row>
    <row r="83" ht="15" customHeight="1" s="225">
      <c r="B83" s="387" t="inlineStr">
        <is>
          <t>F16</t>
        </is>
      </c>
      <c r="C83" s="388" t="inlineStr">
        <is>
          <t>Transaccional</t>
        </is>
      </c>
      <c r="D83" s="389" t="inlineStr">
        <is>
          <t>Tipo de moneda</t>
        </is>
      </c>
      <c r="E83" s="382" t="inlineStr">
        <is>
          <t>Otra divisa</t>
        </is>
      </c>
      <c r="F83" s="381" t="n">
        <v>5</v>
      </c>
      <c r="G83" s="390" t="inlineStr">
        <is>
          <t>Registro de la operación · Aviso</t>
        </is>
      </c>
      <c r="H83" s="391">
        <f>VARIABLES!$B83&amp;"|"&amp;VARIABLES!$E83</f>
        <v/>
      </c>
    </row>
    <row r="84" ht="15" customHeight="1" s="225">
      <c r="B84" s="387" t="inlineStr">
        <is>
          <t>F16</t>
        </is>
      </c>
      <c r="C84" s="388" t="inlineStr">
        <is>
          <t>Transaccional</t>
        </is>
      </c>
      <c r="D84" s="389" t="inlineStr">
        <is>
          <t>Tipo de moneda</t>
        </is>
      </c>
      <c r="E84" s="382" t="inlineStr">
        <is>
          <t>Activo virtual</t>
        </is>
      </c>
      <c r="F84" s="381" t="n">
        <v>5</v>
      </c>
      <c r="G84" s="390" t="inlineStr">
        <is>
          <t>Registro de la operación · Aviso</t>
        </is>
      </c>
      <c r="H84" s="391">
        <f>VARIABLES!$B84&amp;"|"&amp;VARIABLES!$E84</f>
        <v/>
      </c>
    </row>
    <row r="85" ht="15" customHeight="1" s="225">
      <c r="B85" s="387" t="inlineStr">
        <is>
          <t>F17</t>
        </is>
      </c>
      <c r="C85" s="388" t="inlineStr">
        <is>
          <t>Transaccional</t>
        </is>
      </c>
      <c r="D85" s="389" t="inlineStr">
        <is>
          <t>Origen de los recursos</t>
        </is>
      </c>
      <c r="E85" s="382" t="inlineStr">
        <is>
          <t>Origen acreditado con documentación verificable</t>
        </is>
      </c>
      <c r="F85" s="381" t="n">
        <v>1</v>
      </c>
      <c r="G85" s="390" t="inlineStr">
        <is>
          <t>RCG 23 Ter 3 · declarado por el Cliente</t>
        </is>
      </c>
      <c r="H85" s="391">
        <f>VARIABLES!$B85&amp;"|"&amp;VARIABLES!$E85</f>
        <v/>
      </c>
    </row>
    <row r="86" ht="15" customHeight="1" s="225">
      <c r="B86" s="387" t="inlineStr">
        <is>
          <t>F17</t>
        </is>
      </c>
      <c r="C86" s="388" t="inlineStr">
        <is>
          <t>Transaccional</t>
        </is>
      </c>
      <c r="D86" s="389" t="inlineStr">
        <is>
          <t>Origen de los recursos</t>
        </is>
      </c>
      <c r="E86" s="382" t="inlineStr">
        <is>
          <t>Origen declarado con soporte parcial</t>
        </is>
      </c>
      <c r="F86" s="381" t="n">
        <v>3</v>
      </c>
      <c r="G86" s="390" t="inlineStr">
        <is>
          <t>RCG 23 Ter 3 · declarado por el Cliente</t>
        </is>
      </c>
      <c r="H86" s="391">
        <f>VARIABLES!$B86&amp;"|"&amp;VARIABLES!$E86</f>
        <v/>
      </c>
    </row>
    <row r="87" ht="15" customHeight="1" s="225">
      <c r="B87" s="387" t="inlineStr">
        <is>
          <t>F17</t>
        </is>
      </c>
      <c r="C87" s="388" t="inlineStr">
        <is>
          <t>Transaccional</t>
        </is>
      </c>
      <c r="D87" s="389" t="inlineStr">
        <is>
          <t>Origen de los recursos</t>
        </is>
      </c>
      <c r="E87" s="382" t="inlineStr">
        <is>
          <t>Origen declarado sin soporte</t>
        </is>
      </c>
      <c r="F87" s="381" t="n">
        <v>5</v>
      </c>
      <c r="G87" s="390" t="inlineStr">
        <is>
          <t>RCG 23 Ter 3 · declarado por el Cliente</t>
        </is>
      </c>
      <c r="H87" s="391">
        <f>VARIABLES!$B87&amp;"|"&amp;VARIABLES!$E87</f>
        <v/>
      </c>
    </row>
    <row r="88" ht="15" customHeight="1" s="225">
      <c r="B88" s="387" t="inlineStr">
        <is>
          <t>F17</t>
        </is>
      </c>
      <c r="C88" s="388" t="inlineStr">
        <is>
          <t>Transaccional</t>
        </is>
      </c>
      <c r="D88" s="389" t="inlineStr">
        <is>
          <t>Origen de los recursos</t>
        </is>
      </c>
      <c r="E88" s="382" t="inlineStr">
        <is>
          <t>Recursos provenientes de un tercero</t>
        </is>
      </c>
      <c r="F88" s="381" t="n">
        <v>5</v>
      </c>
      <c r="G88" s="390" t="inlineStr">
        <is>
          <t>RCG 23 Ter 3 · declarado por el Cliente</t>
        </is>
      </c>
      <c r="H88" s="391">
        <f>VARIABLES!$B88&amp;"|"&amp;VARIABLES!$E88</f>
        <v/>
      </c>
    </row>
    <row r="89" ht="15" customHeight="1" s="225">
      <c r="B89" s="387" t="inlineStr">
        <is>
          <t>F17</t>
        </is>
      </c>
      <c r="C89" s="388" t="inlineStr">
        <is>
          <t>Transaccional</t>
        </is>
      </c>
      <c r="D89" s="389" t="inlineStr">
        <is>
          <t>Origen de los recursos</t>
        </is>
      </c>
      <c r="E89" s="382" t="inlineStr">
        <is>
          <t>Origen no manifestado</t>
        </is>
      </c>
      <c r="F89" s="381" t="n">
        <v>5</v>
      </c>
      <c r="G89" s="390" t="inlineStr">
        <is>
          <t>RCG 23 Ter 3 · declarado por el Cliente</t>
        </is>
      </c>
      <c r="H89" s="391">
        <f>VARIABLES!$B89&amp;"|"&amp;VARIABLES!$E89</f>
        <v/>
      </c>
    </row>
    <row r="90" ht="15" customHeight="1" s="225">
      <c r="B90" s="387" t="inlineStr">
        <is>
          <t>F18</t>
        </is>
      </c>
      <c r="C90" s="388" t="inlineStr">
        <is>
          <t>Transaccional</t>
        </is>
      </c>
      <c r="D90" s="389" t="inlineStr">
        <is>
          <t>Destino de los recursos</t>
        </is>
      </c>
      <c r="E90" s="382" t="inlineStr">
        <is>
          <t>Destino es el propio bien u operación, registrado</t>
        </is>
      </c>
      <c r="F90" s="381" t="n">
        <v>1</v>
      </c>
      <c r="G90" s="390" t="inlineStr">
        <is>
          <t>RCG 23 Ter 3 · declarado por el Cliente</t>
        </is>
      </c>
      <c r="H90" s="391">
        <f>VARIABLES!$B90&amp;"|"&amp;VARIABLES!$E90</f>
        <v/>
      </c>
    </row>
    <row r="91" ht="15" customHeight="1" s="225">
      <c r="B91" s="387" t="inlineStr">
        <is>
          <t>F18</t>
        </is>
      </c>
      <c r="C91" s="388" t="inlineStr">
        <is>
          <t>Transaccional</t>
        </is>
      </c>
      <c r="D91" s="389" t="inlineStr">
        <is>
          <t>Destino de los recursos</t>
        </is>
      </c>
      <c r="E91" s="382" t="inlineStr">
        <is>
          <t>Destino declarado y verificable</t>
        </is>
      </c>
      <c r="F91" s="381" t="n">
        <v>3</v>
      </c>
      <c r="G91" s="390" t="inlineStr">
        <is>
          <t>RCG 23 Ter 3 · declarado por el Cliente</t>
        </is>
      </c>
      <c r="H91" s="391">
        <f>VARIABLES!$B91&amp;"|"&amp;VARIABLES!$E91</f>
        <v/>
      </c>
    </row>
    <row r="92" ht="15" customHeight="1" s="225">
      <c r="B92" s="387" t="inlineStr">
        <is>
          <t>F18</t>
        </is>
      </c>
      <c r="C92" s="388" t="inlineStr">
        <is>
          <t>Transaccional</t>
        </is>
      </c>
      <c r="D92" s="389" t="inlineStr">
        <is>
          <t>Destino de los recursos</t>
        </is>
      </c>
      <c r="E92" s="382" t="inlineStr">
        <is>
          <t>Destino a un tercero no relacionado</t>
        </is>
      </c>
      <c r="F92" s="381" t="n">
        <v>5</v>
      </c>
      <c r="G92" s="390" t="inlineStr">
        <is>
          <t>RCG 23 Ter 3 · declarado por el Cliente</t>
        </is>
      </c>
      <c r="H92" s="391">
        <f>VARIABLES!$B92&amp;"|"&amp;VARIABLES!$E92</f>
        <v/>
      </c>
    </row>
    <row r="93" ht="15" customHeight="1" s="225">
      <c r="B93" s="387" t="inlineStr">
        <is>
          <t>F18</t>
        </is>
      </c>
      <c r="C93" s="388" t="inlineStr">
        <is>
          <t>Transaccional</t>
        </is>
      </c>
      <c r="D93" s="389" t="inlineStr">
        <is>
          <t>Destino de los recursos</t>
        </is>
      </c>
      <c r="E93" s="382" t="inlineStr">
        <is>
          <t>Destino no manifestado</t>
        </is>
      </c>
      <c r="F93" s="381" t="n">
        <v>5</v>
      </c>
      <c r="G93" s="390" t="inlineStr">
        <is>
          <t>RCG 23 Ter 3 · declarado por el Cliente</t>
        </is>
      </c>
      <c r="H93" s="391">
        <f>VARIABLES!$B93&amp;"|"&amp;VARIABLES!$E93</f>
        <v/>
      </c>
    </row>
    <row r="94" ht="15" customHeight="1" s="225">
      <c r="B94" s="387" t="inlineStr">
        <is>
          <t>F19</t>
        </is>
      </c>
      <c r="C94" s="388" t="inlineStr">
        <is>
          <t>Transaccional</t>
        </is>
      </c>
      <c r="D94" s="389" t="inlineStr">
        <is>
          <t>Canal: certeza de identificación</t>
        </is>
      </c>
      <c r="E94" s="382" t="inlineStr">
        <is>
          <t>Comparecencia directa del Cliente, o identificación remota con biometría y prueba de vida</t>
        </is>
      </c>
      <c r="F94" s="381" t="n">
        <v>1</v>
      </c>
      <c r="G94" s="390" t="inlineStr">
        <is>
          <t>Registro de la operación · cómo se identificó al Cliente</t>
        </is>
      </c>
      <c r="H94" s="391">
        <f>VARIABLES!$B94&amp;"|"&amp;VARIABLES!$E94</f>
        <v/>
      </c>
    </row>
    <row r="95" ht="15" customHeight="1" s="225">
      <c r="B95" s="387" t="inlineStr">
        <is>
          <t>F19</t>
        </is>
      </c>
      <c r="C95" s="388" t="inlineStr">
        <is>
          <t>Transaccional</t>
        </is>
      </c>
      <c r="D95" s="389" t="inlineStr">
        <is>
          <t>Canal: certeza de identificación</t>
        </is>
      </c>
      <c r="E95" s="382" t="inlineStr">
        <is>
          <t>Remota con verificación documental, sin prueba de vida</t>
        </is>
      </c>
      <c r="F95" s="381" t="n">
        <v>3</v>
      </c>
      <c r="G95" s="390" t="inlineStr">
        <is>
          <t>Registro de la operación · cómo se identificó al Cliente</t>
        </is>
      </c>
      <c r="H95" s="391">
        <f>VARIABLES!$B95&amp;"|"&amp;VARIABLES!$E95</f>
        <v/>
      </c>
    </row>
    <row r="96" ht="15" customHeight="1" s="225">
      <c r="B96" s="387" t="inlineStr">
        <is>
          <t>F19</t>
        </is>
      </c>
      <c r="C96" s="388" t="inlineStr">
        <is>
          <t>Transaccional</t>
        </is>
      </c>
      <c r="D96" s="389" t="inlineStr">
        <is>
          <t>Canal: certeza de identificación</t>
        </is>
      </c>
      <c r="E96" s="382" t="inlineStr">
        <is>
          <t>A través de promotor, comisionista o agente propio, con contrato y responsable identificado</t>
        </is>
      </c>
      <c r="F96" s="381" t="n">
        <v>3</v>
      </c>
      <c r="G96" s="390" t="inlineStr">
        <is>
          <t>Registro de la operación · cómo se identificó al Cliente</t>
        </is>
      </c>
      <c r="H96" s="391">
        <f>VARIABLES!$B96&amp;"|"&amp;VARIABLES!$E96</f>
        <v/>
      </c>
    </row>
    <row r="97" ht="15" customHeight="1" s="225">
      <c r="B97" s="387" t="inlineStr">
        <is>
          <t>F19</t>
        </is>
      </c>
      <c r="C97" s="388" t="inlineStr">
        <is>
          <t>Transaccional</t>
        </is>
      </c>
      <c r="D97" s="389" t="inlineStr">
        <is>
          <t>Canal: certeza de identificación</t>
        </is>
      </c>
      <c r="E97" s="382" t="inlineStr">
        <is>
          <t>A través de plataforma o intermediario de un tercero que no controlas</t>
        </is>
      </c>
      <c r="F97" s="381" t="n">
        <v>5</v>
      </c>
      <c r="G97" s="390" t="inlineStr">
        <is>
          <t>Registro de la operación · cómo se identificó al Cliente</t>
        </is>
      </c>
      <c r="H97" s="391">
        <f>VARIABLES!$B97&amp;"|"&amp;VARIABLES!$E97</f>
        <v/>
      </c>
    </row>
    <row r="98" ht="15" customHeight="1" s="225">
      <c r="B98" s="387" t="inlineStr">
        <is>
          <t>F19</t>
        </is>
      </c>
      <c r="C98" s="388" t="inlineStr">
        <is>
          <t>Transaccional</t>
        </is>
      </c>
      <c r="D98" s="389" t="inlineStr">
        <is>
          <t>Canal: certeza de identificación</t>
        </is>
      </c>
      <c r="E98" s="382" t="inlineStr">
        <is>
          <t>A través de gestor o intermediario no acreditado, o sin poder determinarlo</t>
        </is>
      </c>
      <c r="F98" s="381" t="n">
        <v>5</v>
      </c>
      <c r="G98" s="390" t="inlineStr">
        <is>
          <t>Registro de la operación · cómo se identificó al Cliente</t>
        </is>
      </c>
      <c r="H98" s="391">
        <f>VARIABLES!$B98&amp;"|"&amp;VARIABLES!$E98</f>
        <v/>
      </c>
    </row>
    <row r="99" ht="15" customHeight="1" s="225">
      <c r="B99" s="387" t="inlineStr">
        <is>
          <t>F20</t>
        </is>
      </c>
      <c r="C99" s="388" t="inlineStr">
        <is>
          <t>Transaccional</t>
        </is>
      </c>
      <c r="D99" s="389" t="inlineStr">
        <is>
          <t>País o jurisdicción de la operación</t>
        </is>
      </c>
      <c r="E99" s="382" t="inlineStr">
        <is>
          <t>México</t>
        </is>
      </c>
      <c r="F99" s="381" t="n">
        <v>1</v>
      </c>
      <c r="G99" s="390" t="inlineStr">
        <is>
          <t>Registro de la operación</t>
        </is>
      </c>
      <c r="H99" s="391">
        <f>VARIABLES!$B99&amp;"|"&amp;VARIABLES!$E99</f>
        <v/>
      </c>
    </row>
    <row r="100" ht="15" customHeight="1" s="225">
      <c r="B100" s="387" t="inlineStr">
        <is>
          <t>F20</t>
        </is>
      </c>
      <c r="C100" s="388" t="inlineStr">
        <is>
          <t>Transaccional</t>
        </is>
      </c>
      <c r="D100" s="389" t="inlineStr">
        <is>
          <t>País o jurisdicción de la operación</t>
        </is>
      </c>
      <c r="E100" s="382" t="inlineStr">
        <is>
          <t>Extranjero, país sin señalamiento</t>
        </is>
      </c>
      <c r="F100" s="381" t="n">
        <v>3</v>
      </c>
      <c r="G100" s="390" t="inlineStr">
        <is>
          <t>Registro de la operación</t>
        </is>
      </c>
      <c r="H100" s="391">
        <f>VARIABLES!$B100&amp;"|"&amp;VARIABLES!$E100</f>
        <v/>
      </c>
    </row>
    <row r="101" ht="15" customHeight="1" s="225">
      <c r="B101" s="387" t="inlineStr">
        <is>
          <t>F20</t>
        </is>
      </c>
      <c r="C101" s="388" t="inlineStr">
        <is>
          <t>Transaccional</t>
        </is>
      </c>
      <c r="D101" s="389" t="inlineStr">
        <is>
          <t>País o jurisdicción de la operación</t>
        </is>
      </c>
      <c r="E101" s="382" t="inlineStr">
        <is>
          <t>Jurisdicción de régimen fiscal preferente o señalada por deficiencias</t>
        </is>
      </c>
      <c r="F101" s="381" t="n">
        <v>5</v>
      </c>
      <c r="G101" s="390" t="inlineStr">
        <is>
          <t>Registro de la operación</t>
        </is>
      </c>
      <c r="H101" s="391">
        <f>VARIABLES!$B101&amp;"|"&amp;VARIABLES!$E101</f>
        <v/>
      </c>
    </row>
    <row r="102" ht="15" customHeight="1" s="225">
      <c r="B102" s="387" t="inlineStr">
        <is>
          <t>F21</t>
        </is>
      </c>
      <c r="C102" s="388" t="inlineStr">
        <is>
          <t>Transaccional</t>
        </is>
      </c>
      <c r="D102" s="389" t="inlineStr">
        <is>
          <t>Área geográfica nacional de la operación</t>
        </is>
      </c>
      <c r="E102" s="382" t="inlineStr">
        <is>
          <t>Entidad federativa sin señalamiento en la ENR</t>
        </is>
      </c>
      <c r="F102" s="381" t="n">
        <v>1</v>
      </c>
      <c r="G102" s="390" t="inlineStr">
        <is>
          <t>Registro de la operación</t>
        </is>
      </c>
      <c r="H102" s="391">
        <f>VARIABLES!$B102&amp;"|"&amp;VARIABLES!$E102</f>
        <v/>
      </c>
    </row>
    <row r="103" ht="15" customHeight="1" s="225">
      <c r="B103" s="387" t="inlineStr">
        <is>
          <t>F21</t>
        </is>
      </c>
      <c r="C103" s="388" t="inlineStr">
        <is>
          <t>Transaccional</t>
        </is>
      </c>
      <c r="D103" s="389" t="inlineStr">
        <is>
          <t>Área geográfica nacional de la operación</t>
        </is>
      </c>
      <c r="E103" s="382" t="inlineStr">
        <is>
          <t>Entidad federativa con señalamiento en la ENR</t>
        </is>
      </c>
      <c r="F103" s="381" t="n">
        <v>3</v>
      </c>
      <c r="G103" s="390" t="inlineStr">
        <is>
          <t>Registro de la operación</t>
        </is>
      </c>
      <c r="H103" s="391">
        <f>VARIABLES!$B103&amp;"|"&amp;VARIABLES!$E103</f>
        <v/>
      </c>
    </row>
    <row r="104" ht="15" customHeight="1" s="225">
      <c r="B104" s="387" t="inlineStr">
        <is>
          <t>F21</t>
        </is>
      </c>
      <c r="C104" s="388" t="inlineStr">
        <is>
          <t>Transaccional</t>
        </is>
      </c>
      <c r="D104" s="389" t="inlineStr">
        <is>
          <t>Área geográfica nacional de la operación</t>
        </is>
      </c>
      <c r="E104" s="382" t="inlineStr">
        <is>
          <t>Municipio o zona identificada de alto riesgo</t>
        </is>
      </c>
      <c r="F104" s="381" t="n">
        <v>5</v>
      </c>
      <c r="G104" s="390" t="inlineStr">
        <is>
          <t>Registro de la operación</t>
        </is>
      </c>
      <c r="H104" s="391">
        <f>VARIABLES!$B104&amp;"|"&amp;VARIABLES!$E104</f>
        <v/>
      </c>
    </row>
    <row r="105" ht="15" customHeight="1" s="225">
      <c r="B105" s="387" t="inlineStr">
        <is>
          <t>F22</t>
        </is>
      </c>
      <c r="C105" s="388" t="inlineStr">
        <is>
          <t>Transaccional</t>
        </is>
      </c>
      <c r="D105" s="389" t="inlineStr">
        <is>
          <t>Congruencia entre domicilio y lugar de operación</t>
        </is>
      </c>
      <c r="E105" s="382" t="inlineStr">
        <is>
          <t>Domicilio y lugar de la operación coinciden</t>
        </is>
      </c>
      <c r="F105" s="381" t="n">
        <v>1</v>
      </c>
      <c r="G105" s="390" t="inlineStr">
        <is>
          <t>Derivado: A3 a) vi) / A4 a) v) contra el registro</t>
        </is>
      </c>
      <c r="H105" s="391">
        <f>VARIABLES!$B105&amp;"|"&amp;VARIABLES!$E105</f>
        <v/>
      </c>
    </row>
    <row r="106" ht="15" customHeight="1" s="225">
      <c r="B106" s="387" t="inlineStr">
        <is>
          <t>F22</t>
        </is>
      </c>
      <c r="C106" s="388" t="inlineStr">
        <is>
          <t>Transaccional</t>
        </is>
      </c>
      <c r="D106" s="389" t="inlineStr">
        <is>
          <t>Congruencia entre domicilio y lugar de operación</t>
        </is>
      </c>
      <c r="E106" s="382" t="inlineStr">
        <is>
          <t>Distinta entidad federativa, con explicación documentada</t>
        </is>
      </c>
      <c r="F106" s="381" t="n">
        <v>3</v>
      </c>
      <c r="G106" s="390" t="inlineStr">
        <is>
          <t>Derivado: A3 a) vi) / A4 a) v) contra el registro</t>
        </is>
      </c>
      <c r="H106" s="391">
        <f>VARIABLES!$B106&amp;"|"&amp;VARIABLES!$E106</f>
        <v/>
      </c>
    </row>
    <row r="107" ht="15" customHeight="1" s="225">
      <c r="B107" s="387" t="inlineStr">
        <is>
          <t>F22</t>
        </is>
      </c>
      <c r="C107" s="388" t="inlineStr">
        <is>
          <t>Transaccional</t>
        </is>
      </c>
      <c r="D107" s="389" t="inlineStr">
        <is>
          <t>Congruencia entre domicilio y lugar de operación</t>
        </is>
      </c>
      <c r="E107" s="382" t="inlineStr">
        <is>
          <t>Distinta entidad federativa sin explicación</t>
        </is>
      </c>
      <c r="F107" s="381" t="n">
        <v>5</v>
      </c>
      <c r="G107" s="390" t="inlineStr">
        <is>
          <t>Derivado: A3 a) vi) / A4 a) v) contra el registro</t>
        </is>
      </c>
      <c r="H107" s="391">
        <f>VARIABLES!$B107&amp;"|"&amp;VARIABLES!$E107</f>
        <v/>
      </c>
    </row>
  </sheetData>
  <mergeCells count="4">
    <mergeCell ref="B3:H3"/>
    <mergeCell ref="B6:H6"/>
    <mergeCell ref="B2:H2"/>
    <mergeCell ref="B4:H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tabColor rgb="FFFFC000"/>
    <outlinePr summaryBelow="1" summaryRight="1"/>
    <pageSetUpPr fitToPage="0"/>
  </sheetPr>
  <dimension ref="B2:I8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224" min="1" max="1"/>
    <col width="7" customWidth="1" style="224" min="2" max="2"/>
    <col width="13" customWidth="1" style="224" min="3" max="3"/>
    <col width="42" customWidth="1" style="224" min="4" max="4"/>
    <col width="48" customWidth="1" style="224" min="5" max="5"/>
    <col width="7" customWidth="1" style="224" min="6" max="7"/>
    <col width="8" customWidth="1" style="224" min="8" max="8"/>
    <col width="40" customWidth="1" style="224" min="9" max="9"/>
  </cols>
  <sheetData>
    <row r="2" ht="18.55" customHeight="1" s="225">
      <c r="B2" s="392" t="inlineStr">
        <is>
          <t>B · GRADO DE RIESGO DEL CLIENTE O USUARIA</t>
        </is>
      </c>
    </row>
    <row r="3" ht="15" customHeight="1" s="225">
      <c r="B3" s="377" t="inlineStr">
        <is>
          <t>Modelo de clasificación por Grado de Riesgo individual (Art. 23 Bis). Los factores se agrupan en características inherentes y transaccionales, como los nombra el Art. 23 Bis 2.</t>
        </is>
      </c>
    </row>
    <row r="4" ht="15" customHeight="1" s="225">
      <c r="B4" s="378" t="inlineStr">
        <is>
          <t>Elige la variable de cada factor en el desplegable. El nivel lo trae solo de la hoja VARIABLES; el del producto, de la hoja PRODUCTOS.</t>
        </is>
      </c>
    </row>
    <row r="6" ht="19.5" customHeight="1" s="225">
      <c r="B6" s="379" t="inlineStr">
        <is>
          <t>IDENTIFICACIÓN DEL CLIENTE</t>
        </is>
      </c>
    </row>
    <row r="7" ht="15" customHeight="1" s="225">
      <c r="B7" s="393" t="inlineStr">
        <is>
          <t>Nombre o identificador del Cliente:</t>
        </is>
      </c>
      <c r="E7" s="394" t="inlineStr">
        <is>
          <t>Comercializadora Ejemplo del Norte, S.A. de C.V.</t>
        </is>
      </c>
      <c r="F7" s="232" t="n"/>
      <c r="G7" s="232" t="n"/>
      <c r="H7" s="232" t="n"/>
      <c r="I7" s="233" t="n"/>
    </row>
    <row r="8" ht="15" customHeight="1" s="225">
      <c r="B8" s="393" t="inlineStr">
        <is>
          <t>Anexo de identificación aplicable:</t>
        </is>
      </c>
      <c r="E8" s="394" t="inlineStr">
        <is>
          <t>Anexo 4 · persona moral mexicana</t>
        </is>
      </c>
      <c r="F8" s="232" t="n"/>
      <c r="G8" s="232" t="n"/>
      <c r="H8" s="232" t="n"/>
      <c r="I8" s="233" t="n"/>
    </row>
    <row r="9" ht="15" customHeight="1" s="225">
      <c r="B9" s="393" t="inlineStr">
        <is>
          <t>Fecha de la clasificación:</t>
        </is>
      </c>
      <c r="E9" s="394" t="inlineStr">
        <is>
          <t>2026-07-01</t>
        </is>
      </c>
      <c r="F9" s="232" t="n"/>
      <c r="G9" s="233" t="n"/>
    </row>
    <row r="10" ht="15" customHeight="1" s="225">
      <c r="B10" s="393" t="inlineStr">
        <is>
          <t>¿Reside en territorio mexicano?:</t>
        </is>
      </c>
      <c r="E10" s="394" t="inlineStr">
        <is>
          <t>Sí</t>
        </is>
      </c>
      <c r="F10" s="232" t="n"/>
      <c r="G10" s="233" t="n"/>
    </row>
    <row r="11" ht="15" customHeight="1" s="225">
      <c r="B11" s="393" t="inlineStr">
        <is>
          <t>¿Vínculo o efectos con jurisdicción de régimen fiscal preferente o deficiente en PLD?:</t>
        </is>
      </c>
      <c r="E11" s="394" t="inlineStr">
        <is>
          <t>No</t>
        </is>
      </c>
      <c r="F11" s="232" t="n"/>
      <c r="G11" s="233" t="n"/>
    </row>
    <row r="12" ht="15" customHeight="1" s="225">
      <c r="B12" s="395" t="inlineStr">
        <is>
          <t>Amarillo = tú capturas. También los pesos: los de la columna «Peso» y los de familia (45 % / 55 %) los defines tú «en función de su importancia» (Art. 10 Septies 1, fr. II) y los justificas por escrito. Dentro de cada familia deben sumar 100 %.</t>
        </is>
      </c>
    </row>
    <row r="13" ht="19.5" customHeight="1" s="225">
      <c r="B13" s="379" t="inlineStr">
        <is>
          <t>FACTORES DE RIESGO  ·  elige la variable; el nivel se calcula solo</t>
        </is>
      </c>
    </row>
    <row r="14" ht="27.75" customHeight="1" s="225">
      <c r="B14" s="380" t="inlineStr">
        <is>
          <t>Clave</t>
        </is>
      </c>
      <c r="C14" s="380" t="inlineStr">
        <is>
          <t>Familia</t>
        </is>
      </c>
      <c r="D14" s="380" t="inlineStr">
        <is>
          <t>Factor</t>
        </is>
      </c>
      <c r="E14" s="380" t="inlineStr">
        <is>
          <t>Variable seleccionada</t>
        </is>
      </c>
      <c r="F14" s="380" t="inlineStr">
        <is>
          <t>Nivel</t>
        </is>
      </c>
      <c r="G14" s="380" t="inlineStr">
        <is>
          <t>Peso</t>
        </is>
      </c>
      <c r="H14" s="380" t="inlineStr">
        <is>
          <t>Aporte</t>
        </is>
      </c>
      <c r="I14" s="380" t="inlineStr">
        <is>
          <t>Fuente del dato</t>
        </is>
      </c>
    </row>
    <row r="15" ht="15" customHeight="1" s="225">
      <c r="B15" s="387" t="inlineStr">
        <is>
          <t>F01</t>
        </is>
      </c>
      <c r="C15" s="396" t="inlineStr">
        <is>
          <t>Inherente</t>
        </is>
      </c>
      <c r="D15" s="382" t="inlineStr">
        <is>
          <t>Tipo de persona</t>
        </is>
      </c>
      <c r="E15" s="397" t="inlineStr">
        <is>
          <t>Persona moral con fines de lucro (sociedad mercantil)</t>
        </is>
      </c>
      <c r="F15" s="398">
        <f>IFERROR(INDEX(VARIABLES!$F:$F,MATCH($B15&amp;"|"&amp;$E15,VARIABLES!$H:$H,0)),0)</f>
        <v/>
      </c>
      <c r="G15" s="399" t="n">
        <v>0.13</v>
      </c>
      <c r="H15" s="398">
        <f>F15*G15</f>
        <v/>
      </c>
      <c r="I15" s="390" t="inlineStr">
        <is>
          <t>Anexo aplicable: 3 física · 4 moral · 8 fideicomiso</t>
        </is>
      </c>
    </row>
    <row r="16" ht="15" customHeight="1" s="225">
      <c r="B16" s="387" t="inlineStr">
        <is>
          <t>F02</t>
        </is>
      </c>
      <c r="C16" s="396" t="inlineStr">
        <is>
          <t>Inherente</t>
        </is>
      </c>
      <c r="D16" s="382" t="inlineStr">
        <is>
          <t>Fecha de nacimiento o de constitución</t>
        </is>
      </c>
      <c r="E16" s="397" t="inlineStr">
        <is>
          <t>Persona moral constituida hace menos de 2 años</t>
        </is>
      </c>
      <c r="F16" s="398">
        <f>IFERROR(INDEX(VARIABLES!$F:$F,MATCH($B16&amp;"|"&amp;$E16,VARIABLES!$H:$H,0)),0)</f>
        <v/>
      </c>
      <c r="G16" s="399" t="n">
        <v>0.07000000000000001</v>
      </c>
      <c r="H16" s="398">
        <f>F16*G16</f>
        <v/>
      </c>
      <c r="I16" s="390" t="inlineStr">
        <is>
          <t>A3 a) ii) · A4 a) ii)</t>
        </is>
      </c>
    </row>
    <row r="17" ht="15" customHeight="1" s="225">
      <c r="B17" s="387" t="inlineStr">
        <is>
          <t>F03</t>
        </is>
      </c>
      <c r="C17" s="396" t="inlineStr">
        <is>
          <t>Inherente</t>
        </is>
      </c>
      <c r="D17" s="382" t="inlineStr">
        <is>
          <t>Actividad, ocupación, profesión o giro</t>
        </is>
      </c>
      <c r="E17" s="397" t="inlineStr">
        <is>
          <t>Servicios profesionales</t>
        </is>
      </c>
      <c r="F17" s="398">
        <f>IFERROR(INDEX(VARIABLES!$F:$F,MATCH($B17&amp;"|"&amp;$E17,VARIABLES!$H:$H,0)),0)</f>
        <v/>
      </c>
      <c r="G17" s="399" t="n">
        <v>0.15</v>
      </c>
      <c r="H17" s="398">
        <f>F17*G17</f>
        <v/>
      </c>
      <c r="I17" s="390" t="inlineStr">
        <is>
          <t>A3 a) v) · A4 a) iv)</t>
        </is>
      </c>
    </row>
    <row r="18" ht="15" customHeight="1" s="225">
      <c r="B18" s="387" t="inlineStr">
        <is>
          <t>F04</t>
        </is>
      </c>
      <c r="C18" s="396" t="inlineStr">
        <is>
          <t>Inherente</t>
        </is>
      </c>
      <c r="D18" s="382" t="inlineStr">
        <is>
          <t>País de nacionalidad</t>
        </is>
      </c>
      <c r="E18" s="397" t="inlineStr">
        <is>
          <t>Mexicana</t>
        </is>
      </c>
      <c r="F18" s="398">
        <f>IFERROR(INDEX(VARIABLES!$F:$F,MATCH($B18&amp;"|"&amp;$E18,VARIABLES!$H:$H,0)),0)</f>
        <v/>
      </c>
      <c r="G18" s="399" t="n">
        <v>0.06</v>
      </c>
      <c r="H18" s="398">
        <f>F18*G18</f>
        <v/>
      </c>
      <c r="I18" s="390" t="inlineStr">
        <is>
          <t>A3 a) iv) · A4 a) iii)</t>
        </is>
      </c>
    </row>
    <row r="19" ht="15" customHeight="1" s="225">
      <c r="B19" s="387" t="inlineStr">
        <is>
          <t>F05</t>
        </is>
      </c>
      <c r="C19" s="396" t="inlineStr">
        <is>
          <t>Inherente</t>
        </is>
      </c>
      <c r="D19" s="382" t="inlineStr">
        <is>
          <t>Domicilio: país y estado de residencia</t>
        </is>
      </c>
      <c r="E19" s="397" t="inlineStr">
        <is>
          <t>Residente en México, entidad federativa señalada en la ENR</t>
        </is>
      </c>
      <c r="F19" s="398">
        <f>IFERROR(INDEX(VARIABLES!$F:$F,MATCH($B19&amp;"|"&amp;$E19,VARIABLES!$H:$H,0)),0)</f>
        <v/>
      </c>
      <c r="G19" s="399" t="n">
        <v>0.09</v>
      </c>
      <c r="H19" s="398">
        <f>F19*G19</f>
        <v/>
      </c>
      <c r="I19" s="390" t="inlineStr">
        <is>
          <t>A3 a) vi) · A4 a) v)</t>
        </is>
      </c>
    </row>
    <row r="20" ht="15" customHeight="1" s="225">
      <c r="B20" s="387" t="inlineStr">
        <is>
          <t>F06</t>
        </is>
      </c>
      <c r="C20" s="396" t="inlineStr">
        <is>
          <t>Inherente</t>
        </is>
      </c>
      <c r="D20" s="382" t="inlineStr">
        <is>
          <t>Condición de Persona Políticamente Expuesta</t>
        </is>
      </c>
      <c r="E20" s="397" t="inlineStr">
        <is>
          <t>No es Persona Políticamente Expuesta</t>
        </is>
      </c>
      <c r="F20" s="398">
        <f>IFERROR(INDEX(VARIABLES!$F:$F,MATCH($B20&amp;"|"&amp;$E20,VARIABLES!$H:$H,0)),0)</f>
        <v/>
      </c>
      <c r="G20" s="399" t="n">
        <v>0.13</v>
      </c>
      <c r="H20" s="398">
        <f>F20*G20</f>
        <v/>
      </c>
      <c r="I20" s="390" t="inlineStr">
        <is>
          <t>Declaración del Cliente y consulta en Consulta PEP 2.0 · RCG 23 Quáter 1 · RCG 23 Bis 3 y 23 Bis 4</t>
        </is>
      </c>
    </row>
    <row r="21" ht="15" customHeight="1" s="225">
      <c r="B21" s="387" t="inlineStr">
        <is>
          <t>F07</t>
        </is>
      </c>
      <c r="C21" s="396" t="inlineStr">
        <is>
          <t>Inherente</t>
        </is>
      </c>
      <c r="D21" s="382" t="inlineStr">
        <is>
          <t>Coincidencia en listas de personas bloqueadas</t>
        </is>
      </c>
      <c r="E21" s="397" t="inlineStr">
        <is>
          <t>Sin coincidencia, búsqueda documentada en la operación</t>
        </is>
      </c>
      <c r="F21" s="398">
        <f>IFERROR(INDEX(VARIABLES!$F:$F,MATCH($B21&amp;"|"&amp;$E21,VARIABLES!$H:$H,0)),0)</f>
        <v/>
      </c>
      <c r="G21" s="399" t="n">
        <v>0.1</v>
      </c>
      <c r="H21" s="398">
        <f>F21*G21</f>
        <v/>
      </c>
      <c r="I21" s="390" t="inlineStr">
        <is>
          <t>RCG 38 · RCG 41 fr. V</t>
        </is>
      </c>
    </row>
    <row r="22" ht="15" customHeight="1" s="225">
      <c r="B22" s="387" t="inlineStr">
        <is>
          <t>F08</t>
        </is>
      </c>
      <c r="C22" s="396" t="inlineStr">
        <is>
          <t>Inherente</t>
        </is>
      </c>
      <c r="D22" s="382" t="inlineStr">
        <is>
          <t>Beneficiario Controlador</t>
        </is>
      </c>
      <c r="E22" s="397" t="inlineStr">
        <is>
          <t>Beneficiario Controlador identificado, cadena de dos o más niveles</t>
        </is>
      </c>
      <c r="F22" s="398">
        <f>IFERROR(INDEX(VARIABLES!$F:$F,MATCH($B22&amp;"|"&amp;$E22,VARIABLES!$H:$H,0)),0)</f>
        <v/>
      </c>
      <c r="G22" s="399" t="n">
        <v>0.17</v>
      </c>
      <c r="H22" s="398">
        <f>F22*G22</f>
        <v/>
      </c>
      <c r="I22" s="390" t="inlineStr">
        <is>
          <t>A3 b) iv) · A4 b) v) · A8 b) iv)</t>
        </is>
      </c>
    </row>
    <row r="23" ht="15" customHeight="1" s="225">
      <c r="B23" s="387" t="inlineStr">
        <is>
          <t>F09</t>
        </is>
      </c>
      <c r="C23" s="396" t="inlineStr">
        <is>
          <t>Inherente</t>
        </is>
      </c>
      <c r="D23" s="382" t="inlineStr">
        <is>
          <t>Fuente de los ingresos</t>
        </is>
      </c>
      <c r="E23" s="397" t="inlineStr">
        <is>
          <t>Ingresos acreditados parcialmente</t>
        </is>
      </c>
      <c r="F23" s="398">
        <f>IFERROR(INDEX(VARIABLES!$F:$F,MATCH($B23&amp;"|"&amp;$E23,VARIABLES!$H:$H,0)),0)</f>
        <v/>
      </c>
      <c r="G23" s="399" t="n">
        <v>0.06</v>
      </c>
      <c r="H23" s="398">
        <f>F23*G23</f>
        <v/>
      </c>
      <c r="I23" s="390" t="inlineStr">
        <is>
          <t>A3 a) v) · declarada por el Cliente</t>
        </is>
      </c>
    </row>
    <row r="24" ht="15" customHeight="1" s="225">
      <c r="B24" s="387" t="inlineStr">
        <is>
          <t>F10</t>
        </is>
      </c>
      <c r="C24" s="396" t="inlineStr">
        <is>
          <t>Inherente</t>
        </is>
      </c>
      <c r="D24" s="382" t="inlineStr">
        <is>
          <t>Naturaleza y propósito de la relación</t>
        </is>
      </c>
      <c r="E24" s="397" t="inlineStr">
        <is>
          <t>Cliente ocasional, un solo acto u operación</t>
        </is>
      </c>
      <c r="F24" s="398">
        <f>IFERROR(INDEX(VARIABLES!$F:$F,MATCH($B24&amp;"|"&amp;$E24,VARIABLES!$H:$H,0)),0)</f>
        <v/>
      </c>
      <c r="G24" s="399" t="n">
        <v>0.04</v>
      </c>
      <c r="H24" s="398">
        <f>F24*G24</f>
        <v/>
      </c>
      <c r="I24" s="390" t="inlineStr">
        <is>
          <t>Perfil transaccional · RCG 23 Ter 1</t>
        </is>
      </c>
    </row>
    <row r="25" ht="15" customHeight="1" s="225">
      <c r="B25" s="387" t="inlineStr">
        <is>
          <t>F11</t>
        </is>
      </c>
      <c r="C25" s="400" t="inlineStr">
        <is>
          <t>Transaccional</t>
        </is>
      </c>
      <c r="D25" s="382" t="inlineStr">
        <is>
          <t>Producto o servicio contratado</t>
        </is>
      </c>
      <c r="E25" s="397" t="inlineStr">
        <is>
          <t>Compraventa de local comercial</t>
        </is>
      </c>
      <c r="F25" s="398">
        <f>IFERROR(INDEX(PRODUCTOS!$J:$J,MATCH($E25,PRODUCTOS!$C:$C,0)),0)</f>
        <v/>
      </c>
      <c r="G25" s="399" t="n">
        <v>0.157</v>
      </c>
      <c r="H25" s="398">
        <f>F25*G25</f>
        <v/>
      </c>
      <c r="I25" s="390" t="inlineStr">
        <is>
          <t>Hoja PRODUCTOS · registro de la operación</t>
        </is>
      </c>
    </row>
    <row r="26" ht="15" customHeight="1" s="225">
      <c r="B26" s="387" t="inlineStr">
        <is>
          <t>F12</t>
        </is>
      </c>
      <c r="C26" s="400" t="inlineStr">
        <is>
          <t>Transaccional</t>
        </is>
      </c>
      <c r="D26" s="382" t="inlineStr">
        <is>
          <t>Monto frente al Perfil transaccional y umbrales</t>
        </is>
      </c>
      <c r="E26" s="397" t="inlineStr">
        <is>
          <t>Igual o superior al umbral de aviso</t>
        </is>
      </c>
      <c r="F26" s="398">
        <f>IFERROR(INDEX(VARIABLES!$F:$F,MATCH($B26&amp;"|"&amp;$E26,VARIABLES!$H:$H,0)),0)</f>
        <v/>
      </c>
      <c r="G26" s="399" t="n">
        <v>0.126</v>
      </c>
      <c r="H26" s="398">
        <f>F26*G26</f>
        <v/>
      </c>
      <c r="I26" s="390" t="inlineStr">
        <is>
          <t>RCG 23 Ter 1 · L 17</t>
        </is>
      </c>
    </row>
    <row r="27" ht="15" customHeight="1" s="225">
      <c r="B27" s="387" t="inlineStr">
        <is>
          <t>F13</t>
        </is>
      </c>
      <c r="C27" s="400" t="inlineStr">
        <is>
          <t>Transaccional</t>
        </is>
      </c>
      <c r="D27" s="382" t="inlineStr">
        <is>
          <t>Número y frecuencia de las operaciones</t>
        </is>
      </c>
      <c r="E27" s="397" t="inlineStr">
        <is>
          <t>De dos a cuatro operaciones al año</t>
        </is>
      </c>
      <c r="F27" s="398">
        <f>IFERROR(INDEX(VARIABLES!$F:$F,MATCH($B27&amp;"|"&amp;$E27,VARIABLES!$H:$H,0)),0)</f>
        <v/>
      </c>
      <c r="G27" s="399" t="n">
        <v>0.116</v>
      </c>
      <c r="H27" s="398">
        <f>F27*G27</f>
        <v/>
      </c>
      <c r="I27" s="390" t="inlineStr">
        <is>
          <t>Mecanismo automatizado · criterio propio: el 23 Bis 2 fr. II es lista abierta</t>
        </is>
      </c>
    </row>
    <row r="28" ht="15" customHeight="1" s="225">
      <c r="B28" s="387" t="inlineStr">
        <is>
          <t>F14</t>
        </is>
      </c>
      <c r="C28" s="400" t="inlineStr">
        <is>
          <t>Transaccional</t>
        </is>
      </c>
      <c r="D28" s="382" t="inlineStr">
        <is>
          <t>Número de contrapartes</t>
        </is>
      </c>
      <c r="E28" s="397" t="inlineStr">
        <is>
          <t>De dos a tres contrapartes</t>
        </is>
      </c>
      <c r="F28" s="398">
        <f>IFERROR(INDEX(VARIABLES!$F:$F,MATCH($B28&amp;"|"&amp;$E28,VARIABLES!$H:$H,0)),0)</f>
        <v/>
      </c>
      <c r="G28" s="399" t="n">
        <v>0.063</v>
      </c>
      <c r="H28" s="398">
        <f>F28*G28</f>
        <v/>
      </c>
      <c r="I28" s="390" t="inlineStr">
        <is>
          <t>Registro de operaciones</t>
        </is>
      </c>
    </row>
    <row r="29" ht="15" customHeight="1" s="225">
      <c r="B29" s="387" t="inlineStr">
        <is>
          <t>F15</t>
        </is>
      </c>
      <c r="C29" s="400" t="inlineStr">
        <is>
          <t>Transaccional</t>
        </is>
      </c>
      <c r="D29" s="382" t="inlineStr">
        <is>
          <t>Instrumento monetario</t>
        </is>
      </c>
      <c r="E29" s="397" t="inlineStr">
        <is>
          <t>Pago mixto con componente en efectivo</t>
        </is>
      </c>
      <c r="F29" s="398">
        <f>IFERROR(INDEX(VARIABLES!$F:$F,MATCH($B29&amp;"|"&amp;$E29,VARIABLES!$H:$H,0)),0)</f>
        <v/>
      </c>
      <c r="G29" s="399" t="n">
        <v>0.147</v>
      </c>
      <c r="H29" s="398">
        <f>F29*G29</f>
        <v/>
      </c>
      <c r="I29" s="390" t="inlineStr">
        <is>
          <t>Registro de la operación · Aviso</t>
        </is>
      </c>
    </row>
    <row r="30" ht="15" customHeight="1" s="225">
      <c r="B30" s="387" t="inlineStr">
        <is>
          <t>F16</t>
        </is>
      </c>
      <c r="C30" s="400" t="inlineStr">
        <is>
          <t>Transaccional</t>
        </is>
      </c>
      <c r="D30" s="382" t="inlineStr">
        <is>
          <t>Tipo de moneda</t>
        </is>
      </c>
      <c r="E30" s="397" t="inlineStr">
        <is>
          <t>Peso mexicano</t>
        </is>
      </c>
      <c r="F30" s="398">
        <f>IFERROR(INDEX(VARIABLES!$F:$F,MATCH($B30&amp;"|"&amp;$E30,VARIABLES!$H:$H,0)),0)</f>
        <v/>
      </c>
      <c r="G30" s="399" t="n">
        <v>0.032</v>
      </c>
      <c r="H30" s="398">
        <f>F30*G30</f>
        <v/>
      </c>
      <c r="I30" s="390" t="inlineStr">
        <is>
          <t>Registro de la operación · Aviso</t>
        </is>
      </c>
    </row>
    <row r="31" ht="15" customHeight="1" s="225">
      <c r="B31" s="387" t="inlineStr">
        <is>
          <t>F17</t>
        </is>
      </c>
      <c r="C31" s="400" t="inlineStr">
        <is>
          <t>Transaccional</t>
        </is>
      </c>
      <c r="D31" s="382" t="inlineStr">
        <is>
          <t>Origen de los recursos</t>
        </is>
      </c>
      <c r="E31" s="397" t="inlineStr">
        <is>
          <t>Origen declarado con soporte parcial</t>
        </is>
      </c>
      <c r="F31" s="398">
        <f>IFERROR(INDEX(VARIABLES!$F:$F,MATCH($B31&amp;"|"&amp;$E31,VARIABLES!$H:$H,0)),0)</f>
        <v/>
      </c>
      <c r="G31" s="399" t="n">
        <v>0.137</v>
      </c>
      <c r="H31" s="398">
        <f>F31*G31</f>
        <v/>
      </c>
      <c r="I31" s="390" t="inlineStr">
        <is>
          <t>RCG 23 Ter 3 · declarado por el Cliente</t>
        </is>
      </c>
    </row>
    <row r="32" ht="15" customHeight="1" s="225">
      <c r="B32" s="387" t="inlineStr">
        <is>
          <t>F18</t>
        </is>
      </c>
      <c r="C32" s="400" t="inlineStr">
        <is>
          <t>Transaccional</t>
        </is>
      </c>
      <c r="D32" s="382" t="inlineStr">
        <is>
          <t>Destino de los recursos</t>
        </is>
      </c>
      <c r="E32" s="397" t="inlineStr">
        <is>
          <t>Destino es el propio bien u operación, registrado</t>
        </is>
      </c>
      <c r="F32" s="398">
        <f>IFERROR(INDEX(VARIABLES!$F:$F,MATCH($B32&amp;"|"&amp;$E32,VARIABLES!$H:$H,0)),0)</f>
        <v/>
      </c>
      <c r="G32" s="399" t="n">
        <v>0.063</v>
      </c>
      <c r="H32" s="398">
        <f>F32*G32</f>
        <v/>
      </c>
      <c r="I32" s="390" t="inlineStr">
        <is>
          <t>RCG 23 Ter 3 · declarado por el Cliente</t>
        </is>
      </c>
    </row>
    <row r="33" ht="15" customHeight="1" s="225">
      <c r="B33" s="387" t="inlineStr">
        <is>
          <t>F19</t>
        </is>
      </c>
      <c r="C33" s="400" t="inlineStr">
        <is>
          <t>Transaccional</t>
        </is>
      </c>
      <c r="D33" s="382" t="inlineStr">
        <is>
          <t>Canal: certeza de identificación</t>
        </is>
      </c>
      <c r="E33" s="397" t="inlineStr">
        <is>
          <t>Comparecencia directa del Cliente, o identificación remota con biometría y prueba de vida</t>
        </is>
      </c>
      <c r="F33" s="398">
        <f>IFERROR(INDEX(VARIABLES!$F:$F,MATCH($B33&amp;"|"&amp;$E33,VARIABLES!$H:$H,0)),0)</f>
        <v/>
      </c>
      <c r="G33" s="399" t="n">
        <v>0.053</v>
      </c>
      <c r="H33" s="398">
        <f>F33*G33</f>
        <v/>
      </c>
      <c r="I33" s="390" t="inlineStr">
        <is>
          <t>Registro de la operación · cómo se identificó al Cliente</t>
        </is>
      </c>
    </row>
    <row r="34" ht="15" customHeight="1" s="225">
      <c r="B34" s="387" t="inlineStr">
        <is>
          <t>F20</t>
        </is>
      </c>
      <c r="C34" s="400" t="inlineStr">
        <is>
          <t>Transaccional</t>
        </is>
      </c>
      <c r="D34" s="382" t="inlineStr">
        <is>
          <t>País o jurisdicción de la operación</t>
        </is>
      </c>
      <c r="E34" s="397" t="inlineStr">
        <is>
          <t>México</t>
        </is>
      </c>
      <c r="F34" s="398">
        <f>IFERROR(INDEX(VARIABLES!$F:$F,MATCH($B34&amp;"|"&amp;$E34,VARIABLES!$H:$H,0)),0)</f>
        <v/>
      </c>
      <c r="G34" s="399" t="n">
        <v>0.042</v>
      </c>
      <c r="H34" s="398">
        <f>F34*G34</f>
        <v/>
      </c>
      <c r="I34" s="390" t="inlineStr">
        <is>
          <t>Registro de la operación</t>
        </is>
      </c>
    </row>
    <row r="35" ht="15" customHeight="1" s="225">
      <c r="B35" s="387" t="inlineStr">
        <is>
          <t>F21</t>
        </is>
      </c>
      <c r="C35" s="400" t="inlineStr">
        <is>
          <t>Transaccional</t>
        </is>
      </c>
      <c r="D35" s="382" t="inlineStr">
        <is>
          <t>Área geográfica nacional de la operación</t>
        </is>
      </c>
      <c r="E35" s="397" t="inlineStr">
        <is>
          <t>Entidad federativa con señalamiento en la ENR</t>
        </is>
      </c>
      <c r="F35" s="398">
        <f>IFERROR(INDEX(VARIABLES!$F:$F,MATCH($B35&amp;"|"&amp;$E35,VARIABLES!$H:$H,0)),0)</f>
        <v/>
      </c>
      <c r="G35" s="399" t="n">
        <v>0.032</v>
      </c>
      <c r="H35" s="398">
        <f>F35*G35</f>
        <v/>
      </c>
      <c r="I35" s="390" t="inlineStr">
        <is>
          <t>Registro de la operación</t>
        </is>
      </c>
    </row>
    <row r="36" ht="15" customHeight="1" s="225">
      <c r="B36" s="387" t="inlineStr">
        <is>
          <t>F22</t>
        </is>
      </c>
      <c r="C36" s="400" t="inlineStr">
        <is>
          <t>Transaccional</t>
        </is>
      </c>
      <c r="D36" s="382" t="inlineStr">
        <is>
          <t>Congruencia entre domicilio y lugar de operación</t>
        </is>
      </c>
      <c r="E36" s="397" t="inlineStr">
        <is>
          <t>Distinta entidad federativa, con explicación documentada</t>
        </is>
      </c>
      <c r="F36" s="398">
        <f>IFERROR(INDEX(VARIABLES!$F:$F,MATCH($B36&amp;"|"&amp;$E36,VARIABLES!$H:$H,0)),0)</f>
        <v/>
      </c>
      <c r="G36" s="399" t="n">
        <v>0.032</v>
      </c>
      <c r="H36" s="398">
        <f>F36*G36</f>
        <v/>
      </c>
      <c r="I36" s="390" t="inlineStr">
        <is>
          <t>Derivado: A3 a) vi) / A4 a) v) contra el registro</t>
        </is>
      </c>
    </row>
    <row r="37" ht="15" customHeight="1" s="225">
      <c r="B37" s="401" t="inlineStr">
        <is>
          <t>F11 es el único factor cuyo nivel no sale de VARIABLES sino de la hoja PRODUCTOS: el riesgo del producto se calcula ahí con sus seis indicadores. Excel puede marcar esa celda como «fórmula inconsistente»; es correcta.</t>
        </is>
      </c>
    </row>
    <row r="38" ht="19.5" customHeight="1" s="225">
      <c r="B38" s="379" t="inlineStr">
        <is>
          <t>RESULTADO POR FAMILIA  ·  Art. 23 Bis 2 fracciones I y II</t>
        </is>
      </c>
    </row>
    <row r="39" ht="15" customHeight="1" s="225">
      <c r="B39" s="380" t="n"/>
      <c r="C39" s="380" t="inlineStr">
        <is>
          <t>Familia de factores</t>
        </is>
      </c>
      <c r="D39" s="380" t="inlineStr">
        <is>
          <t>Calif.</t>
        </is>
      </c>
      <c r="E39" s="380" t="inlineStr">
        <is>
          <t>Peso</t>
        </is>
      </c>
      <c r="F39" s="380" t="inlineStr">
        <is>
          <t>Aporte</t>
        </is>
      </c>
      <c r="G39" s="380" t="inlineStr">
        <is>
          <t>Nivel</t>
        </is>
      </c>
    </row>
    <row r="40" ht="15" customHeight="1" s="225">
      <c r="B40" s="402" t="inlineStr">
        <is>
          <t>I</t>
        </is>
      </c>
      <c r="C40" s="382" t="inlineStr">
        <is>
          <t>Características inherentes</t>
        </is>
      </c>
      <c r="D40" s="398">
        <f>IFERROR(SUM(H15:H24)/SUM(G15:G24),0)</f>
        <v/>
      </c>
      <c r="E40" s="403" t="n">
        <v>0.45</v>
      </c>
      <c r="F40" s="398">
        <f>D40*E40</f>
        <v/>
      </c>
      <c r="G40" s="381">
        <f>IF(D40&gt;=3.67,"ALTO",IF(D40&gt;=2.34,"MEDIO","BAJO"))</f>
        <v/>
      </c>
    </row>
    <row r="41" ht="15" customHeight="1" s="225">
      <c r="B41" s="402" t="inlineStr">
        <is>
          <t>II</t>
        </is>
      </c>
      <c r="C41" s="382" t="inlineStr">
        <is>
          <t>Características transaccionales</t>
        </is>
      </c>
      <c r="D41" s="398">
        <f>IFERROR(SUM(H25:H36)/SUM(G25:G36),0)</f>
        <v/>
      </c>
      <c r="E41" s="403" t="n">
        <v>0.55</v>
      </c>
      <c r="F41" s="398">
        <f>D41*E41</f>
        <v/>
      </c>
      <c r="G41" s="381">
        <f>IF(D41&gt;=3.67,"ALTO",IF(D41&gt;=2.34,"MEDIO","BAJO"))</f>
        <v/>
      </c>
    </row>
    <row r="42" ht="15" customHeight="1" s="225">
      <c r="C42" s="404" t="inlineStr">
        <is>
          <t>Suma de los pesos de familia (debe ser 100 %)</t>
        </is>
      </c>
      <c r="E42" s="405">
        <f>SUM(E40:E41)</f>
        <v/>
      </c>
      <c r="G42" s="406">
        <f>IF(ABS(SUM(E40:E41)-1)&lt;=0.001,"OK","Corregir")</f>
        <v/>
      </c>
    </row>
    <row r="43" ht="15" customHeight="1" s="225">
      <c r="C43" s="407" t="inlineStr">
        <is>
          <t>Factores todavía sin elegir:</t>
        </is>
      </c>
      <c r="E43" s="408">
        <f>COUNTIF($F$15:$F$36,0)</f>
        <v/>
      </c>
      <c r="G43" s="409">
        <f>IF($E$43=0,"Completo: los 22 factores resueltos","Mientras haya factores sin elegir no se emite grado")</f>
        <v/>
      </c>
    </row>
    <row r="45" ht="19.5" customHeight="1" s="225">
      <c r="B45" s="379" t="inlineStr">
        <is>
          <t>GRADO DE RIESGO DEL CLIENTE</t>
        </is>
      </c>
    </row>
    <row r="46" ht="15" customHeight="1" s="225">
      <c r="B46" s="393" t="inlineStr">
        <is>
          <t>Calificación ponderada del Cliente (escala 1 a 5):</t>
        </is>
      </c>
      <c r="E46" s="410">
        <f>IFERROR(SUMPRODUCT(D40:D41,E40:E41)/SUM(E40:E41),0)</f>
        <v/>
      </c>
      <c r="F46" s="233" t="n"/>
    </row>
    <row r="47" ht="15" customHeight="1" s="225">
      <c r="B47" s="393" t="inlineStr">
        <is>
          <t>Grado base:</t>
        </is>
      </c>
      <c r="E47" s="411">
        <f>IF(COUNTIF($F$15:$F$36,0)&gt;0,"— faltan factores por elegir —",IF($E$46=0,"",IF($E$46&gt;=3.67,"ALTO",IF($E$46&gt;=2.34,"MEDIO","BAJO"))))</f>
        <v/>
      </c>
      <c r="F47" s="233" t="n"/>
    </row>
    <row r="48" ht="15" customHeight="1" s="225">
      <c r="B48" s="393" t="inlineStr">
        <is>
          <t>Regla obligatoria de riesgo alto (Art. 23 Bis 4):</t>
        </is>
      </c>
      <c r="E48" s="412">
        <f>IF(OR($E$20="PEP extranjera",AND($E$10="No",$E$11="Sí")),"Aplica: PEP extranjera o no residente vinculado a jurisdicción de régimen fiscal preferente o deficiente","No aplica")</f>
        <v/>
      </c>
      <c r="F48" s="232" t="n"/>
      <c r="G48" s="232" t="n"/>
      <c r="H48" s="232" t="n"/>
      <c r="I48" s="233" t="n"/>
    </row>
    <row r="50" ht="15" customHeight="1" s="225">
      <c r="B50" s="413" t="inlineStr">
        <is>
          <t>GRADO DE RIESGO FINAL</t>
        </is>
      </c>
      <c r="E50" s="414">
        <f>IF(COUNTIF($F$15:$F$36,0)&gt;0,"SIN CLASIFICAR",IF(OR($E$20="PEP extranjera",AND($E$10="No",$E$11="Sí")),"ALTO",E47))</f>
        <v/>
      </c>
      <c r="G50" s="415">
        <f>IF(E50="ALTO","Debida diligencia reforzada: Arts. 23 Ter 3, 23 Ter 4 y 23 Ter 5","Régimen ordinario, sin perjuicio del expediente que corresponda")</f>
        <v/>
      </c>
    </row>
    <row r="51" ht="15" customHeight="1" s="225"/>
    <row r="53" ht="15" customHeight="1" s="225">
      <c r="B53" s="384" t="inlineStr">
        <is>
          <t>CÓMO SE LEE  ·  Alto = 5 · Medio = 3 · Bajo = 1, la misma escala de calificación de la hoja A1</t>
        </is>
      </c>
    </row>
    <row r="54" ht="15" customHeight="1" s="225">
      <c r="C54" s="416" t="inlineStr">
        <is>
          <t>BAJO</t>
        </is>
      </c>
      <c r="D54" s="402" t="inlineStr">
        <is>
          <t>1.00 a 2.33</t>
        </is>
      </c>
      <c r="E54" s="417" t="inlineStr">
        <is>
          <t>Expediente conforme al Art. 12. Medidas simplificadas sólo si se cumplen LAS DOS condiciones: Cliente de bajo Riesgo (Art. 17 de las Reglas) y entidad de bajo riesgo (Art. 15 del Reglamento).</t>
        </is>
      </c>
      <c r="F54" s="232" t="n"/>
      <c r="G54" s="232" t="n"/>
      <c r="H54" s="232" t="n"/>
      <c r="I54" s="233" t="n"/>
    </row>
    <row r="55" ht="15" customHeight="1" s="225">
      <c r="C55" s="416" t="inlineStr">
        <is>
          <t>MEDIO</t>
        </is>
      </c>
      <c r="D55" s="402" t="inlineStr">
        <is>
          <t>2.34 a 3.66</t>
        </is>
      </c>
      <c r="E55" s="417" t="inlineStr">
        <is>
          <t>Expediente completo del Art. 12 de las Reglas (Art. 17 Bis).</t>
        </is>
      </c>
      <c r="F55" s="232" t="n"/>
      <c r="G55" s="232" t="n"/>
      <c r="H55" s="232" t="n"/>
      <c r="I55" s="233" t="n"/>
    </row>
    <row r="56" ht="15" customHeight="1" s="225">
      <c r="C56" s="416" t="inlineStr">
        <is>
          <t>ALTO</t>
        </is>
      </c>
      <c r="D56" s="402" t="inlineStr">
        <is>
          <t>3.67 a 5.00</t>
        </is>
      </c>
      <c r="E56" s="417" t="inlineStr">
        <is>
          <t>Expediente reforzado: Arts. 23 Ter 3, 23 Ter 4 y, si además es PEP, 23 Ter 5.</t>
        </is>
      </c>
      <c r="F56" s="232" t="n"/>
      <c r="G56" s="232" t="n"/>
      <c r="H56" s="232" t="n"/>
      <c r="I56" s="233" t="n"/>
    </row>
    <row r="58" ht="19.5" customHeight="1" s="225">
      <c r="B58" s="379" t="inlineStr">
        <is>
          <t>SI EL GRADO ES ALTO — Debida Diligencia Reforzada</t>
        </is>
      </c>
    </row>
    <row r="59" ht="15" customHeight="1" s="225">
      <c r="B59" s="418" t="inlineStr">
        <is>
          <t>•  Art. 23 Ter 3 — Requerir mayor información sobre la actividad preponderante y aplicar revisión y monitoreo más estricto del comportamiento transaccional.</t>
        </is>
      </c>
    </row>
    <row r="60" ht="15" customHeight="1" s="225">
      <c r="B60" s="418" t="inlineStr">
        <is>
          <t>•  Art. 23 Ter 3 — Aplicar cuestionario de identificación sobre origen y destino de los recursos. Puede ser remoto, con Firma Electrónica de quien lo suscribe.</t>
        </is>
      </c>
    </row>
    <row r="61" ht="15" customHeight="1" s="225">
      <c r="B61" s="418" t="inlineStr">
        <is>
          <t>•  Art. 23 Ter 4 fr. I — Persona física: medidas reforzadas sobre origen y destino, y datos del cónyuge, dependientes económicos y vínculos patrimoniales.</t>
        </is>
      </c>
    </row>
    <row r="62" ht="15" customHeight="1" s="225">
      <c r="B62" s="418" t="inlineStr">
        <is>
          <t>•  Art. 23 Ter 4 fr. II — Persona moral: mayor información de accionistas o socios, verificando los datos en los registros electrónicos de la Secretaría de Economía.</t>
        </is>
      </c>
    </row>
    <row r="63" ht="15" customHeight="1" s="225">
      <c r="B63" s="418" t="inlineStr">
        <is>
          <t>•  Art. 23 Ter 5 — PEP con grado alto: aprobación previa de un directivo o equivalente. Si quien realiza la Actividad Vulnerable es persona física, se subsana con constancia motivada.</t>
        </is>
      </c>
    </row>
    <row r="64" ht="15" customHeight="1" s="225">
      <c r="B64" s="418" t="inlineStr">
        <is>
          <t>•  Art. 23 Bis 1 — Reevaluar el grado al menos cada seis meses, con mayor frecuencia mientras mayor sea el grado.</t>
        </is>
      </c>
    </row>
    <row r="66" ht="19.5" customHeight="1" s="225">
      <c r="B66" s="379" t="inlineStr">
        <is>
          <t>RÉGIMEN DE EXPEDIENTE  ·  dos ejes distintos y ambos deben cumplirse: Art. 17 de las Reglas para el Cliente, Art. 15 del Reglamento para la entidad</t>
        </is>
      </c>
    </row>
    <row r="67" ht="15" customHeight="1" s="225">
      <c r="B67" s="393" t="inlineStr">
        <is>
          <t>Grado de riesgo final del CLIENTE:</t>
        </is>
      </c>
      <c r="E67" s="419">
        <f>$E$50</f>
        <v/>
      </c>
      <c r="F67" s="232" t="n"/>
      <c r="G67" s="233" t="n"/>
    </row>
    <row r="68" ht="15" customHeight="1" s="225">
      <c r="B68" s="393" t="inlineStr">
        <is>
          <t>Riesgo residual de la ENTIDAD (hoja A5):</t>
        </is>
      </c>
      <c r="E68" s="419">
        <f>'A5 RESIDUAL'!$G$13</f>
        <v/>
      </c>
      <c r="F68" s="232" t="n"/>
      <c r="G68" s="233" t="n"/>
    </row>
    <row r="69" ht="15" customHeight="1" s="225">
      <c r="B69" s="393" t="inlineStr">
        <is>
          <t>Expediente que debe integrarse:</t>
        </is>
      </c>
      <c r="E69" s="420">
        <f>IF(OR($E$67="",$E$67="SIN CLASIFICAR",$E$68="SIN EVALUAR"),"— falta completar la clasificación del Cliente o la evaluación de la entidad —",IF($E$67="ALTO","Expediente reforzado: expediente completo, más cuestionario de identificación reforzada con Firma Electrónica; si además es PEP, aprobación de un directivo (Arts. 23 Ter 3, 4 y 5).",IF($E$67="MEDIO","Expediente completo del Art. 12 de las Reglas (Art. 17 Bis).",IF($E$68="BAJO",("Medidas simplificadas: bastan los datos de los anexos (Art. 17 de las Reglas). Proceden porque se cumplen las DOS condiciones: el Cliente es de bajo Riesgo conforme al Capítulo III Bis (Art. 17) y tu entidad es de bajo riesgo residual (Art. 15 del Re"&amp;"glamento)."),"Expediente completo del Art. 12: aunque el Cliente es de bajo Riesgo, tu entidad no lo es, y el Art. 15 del Reglamento condiciona las medidas simplificadas a que quien realiza la Actividad Vulnerable sea de bajo riesgo. Falta una de las dos condiciones."))))</f>
        <v/>
      </c>
      <c r="F69" s="339" t="n"/>
      <c r="G69" s="339" t="n"/>
      <c r="H69" s="339" t="n"/>
      <c r="I69" s="340" t="n"/>
    </row>
    <row r="70" ht="15" customHeight="1" s="225">
      <c r="E70" s="341" t="n"/>
      <c r="F70" s="342" t="n"/>
      <c r="G70" s="342" t="n"/>
      <c r="H70" s="342" t="n"/>
      <c r="I70" s="343" t="n"/>
    </row>
    <row r="72" ht="15" customHeight="1" s="225">
      <c r="B72" s="295" t="inlineStr">
        <is>
          <t>Coherencia con la metodología (Art. 23 Bis): este modelo usa la misma escala de calificación de la hoja A1 —Alto 5 · Medio 3 · Bajo 1— y el mismo criterio de ponderación del Art. 10 Septies 1 fr. II, pero se agrupa como lo nombra el Art. 23 Bis 2: características inherentes y transaccionales. Los cuatro elementos del Art. 10 Septies 1 fr. I son de la evaluación de la ENTIDAD, no del Cliente. Lo que no aplica al Cliente es la concentración, porque un Cliente no se reparte en porcentajes de operación: por eso el resultado corre de 1 a 5 y no de 1 a 25. · MEDIDAS SIMPLIFICADAS, CRITERIO DE LAS PERSONAS AUTORAS. Son dos condiciones en dos ordenamientos distintos y ninguno repite la del otro: el Art. 15 del Reglamento pide que la ENTIDAD sea de bajo riesgo, y el Art. 17 de las Reglas pide que el CLIENTE esté clasificado de bajo Riesgo conforme al Capítulo III Bis. Se leen como acumulativas por jerarquía: una regla de carácter general no puede dispensar una condición del Reglamento, y el propio Art. 15 la manda desarrollar, no sustituir. Consecuencia en los dos sentidos: una entidad de bajo riesgo no puede simplificar con un Cliente de Riesgo alto, y un Cliente de bajo Riesgo no accede al expediente simplificado si la entidad no es de bajo riesgo. · QUÉ RIESGO DE LA ENTIDAD. Este modelo usa el RESIDUAL de la hoja A5. Es criterio: ni el Art. 15 del Reglamento ni los Arts. 44 y 45 dicen si el riesgo es inherente o residual, y en las Reglas la palabra residual no aparece ni una vez. Se toma el residual porque el Art. 10 Septies 1 fr. III obliga a establecer el efecto de los Mitigantes sobre los elementos de Riesgo, y el Art. 10 Septies 2 a mantenerlos en un nivel de tolerancia aceptable. · Y un dato para el aula: la condición del bajo riesgo de la entidad NO es nueva. Está en el Art. 15 del Reglamento desde su publicación en el DOF del 16 de agosto de 2013. Lo que la reforma del 27 de marzo de 2026 agregó fue el anclaje a la evaluación del Art. 18 fr. VII de la Ley, fracción adicionada el 16 de julio de 2025. La reforma no creó la condición: la hizo operativa.</t>
        </is>
      </c>
    </row>
    <row r="73" ht="15" customHeight="1" s="225"/>
    <row r="74" ht="15" customHeight="1" s="225"/>
    <row r="76" ht="19.5" customHeight="1" s="225">
      <c r="B76" s="379" t="inlineStr">
        <is>
          <t>EVENTOS QUE OBLIGAN A REVISAR EL GRADO  ·  no suman puntos: disparan revisión</t>
        </is>
      </c>
    </row>
    <row r="77" ht="39.75" customHeight="1" s="225">
      <c r="B77" s="295" t="inlineStr">
        <is>
          <t>Estos hechos NO entran al promedio ponderado. Si entraran, una desviación grave movería la calificación unas décimas y el Cliente se quedaría igual. Operan como el supuesto obligatorio del Art. 23 Bis 4: se saltan el puntaje. Al marcar cualquiera en «Sí», procede revisar el Grado y, en su caso, modificarlo (Art. 23 Ter frs. IV y V) y actualizar el expediente. El sistema de alertas del Art. 23 Ter 2 es el que debe detectarlos.</t>
        </is>
      </c>
    </row>
    <row r="78" ht="15" customHeight="1" s="225">
      <c r="B78" s="380" t="inlineStr">
        <is>
          <t>Evento</t>
        </is>
      </c>
      <c r="E78" s="380" t="inlineStr">
        <is>
          <t>¿Ocurrió?</t>
        </is>
      </c>
      <c r="F78" s="380" t="inlineStr">
        <is>
          <t>Fecha</t>
        </is>
      </c>
      <c r="G78" s="380" t="inlineStr">
        <is>
          <t>Fundamento</t>
        </is>
      </c>
    </row>
    <row r="79" ht="15" customHeight="1" s="225">
      <c r="B79" s="382" t="inlineStr">
        <is>
          <t>Alerta de desviación respecto del Perfil transaccional declarado</t>
        </is>
      </c>
      <c r="C79" s="232" t="n"/>
      <c r="D79" s="233" t="n"/>
      <c r="E79" s="360" t="inlineStr">
        <is>
          <t>No</t>
        </is>
      </c>
      <c r="F79" s="421" t="n"/>
      <c r="G79" s="390" t="inlineStr">
        <is>
          <t>RCG 23 Ter 1 y 23 Ter 2</t>
        </is>
      </c>
      <c r="H79" s="232" t="n"/>
      <c r="I79" s="233" t="n"/>
    </row>
    <row r="80" ht="15" customHeight="1" s="225">
      <c r="B80" s="382" t="inlineStr">
        <is>
          <t>Cambio en el Beneficiario Controlador o en la cadena de control</t>
        </is>
      </c>
      <c r="C80" s="232" t="n"/>
      <c r="D80" s="233" t="n"/>
      <c r="E80" s="360" t="inlineStr">
        <is>
          <t>No</t>
        </is>
      </c>
      <c r="F80" s="421" t="n"/>
      <c r="G80" s="390" t="inlineStr">
        <is>
          <t>RCG 22 · Anexos 3, 4 y 8</t>
        </is>
      </c>
      <c r="H80" s="232" t="n"/>
      <c r="I80" s="233" t="n"/>
    </row>
    <row r="81" ht="15" customHeight="1" s="225">
      <c r="B81" s="382" t="inlineStr">
        <is>
          <t>Coincidencia nueva en listas de personas bloqueadas o de sanciones</t>
        </is>
      </c>
      <c r="C81" s="232" t="n"/>
      <c r="D81" s="233" t="n"/>
      <c r="E81" s="360" t="inlineStr">
        <is>
          <t>No</t>
        </is>
      </c>
      <c r="F81" s="421" t="n"/>
      <c r="G81" s="390" t="inlineStr">
        <is>
          <t>RCG 38 · RCG 41 fr. V</t>
        </is>
      </c>
      <c r="H81" s="232" t="n"/>
      <c r="I81" s="233" t="n"/>
    </row>
    <row r="82" ht="15" customHeight="1" s="225">
      <c r="B82" s="382" t="inlineStr">
        <is>
          <t>Cambio en la condición de Persona Políticamente Expuesta</t>
        </is>
      </c>
      <c r="C82" s="232" t="n"/>
      <c r="D82" s="233" t="n"/>
      <c r="E82" s="360" t="inlineStr">
        <is>
          <t>No</t>
        </is>
      </c>
      <c r="F82" s="421" t="n"/>
      <c r="G82" s="390" t="inlineStr">
        <is>
          <t>RCG 23 Quáter · 23 Quáter 1 (Consulta PEP 2.0)</t>
        </is>
      </c>
      <c r="H82" s="232" t="n"/>
      <c r="I82" s="233" t="n"/>
    </row>
    <row r="83" ht="15" customHeight="1" s="225">
      <c r="B83" s="382" t="inlineStr">
        <is>
          <t>Cambio significativo en la actividad, el giro o la fuente de los ingresos</t>
        </is>
      </c>
      <c r="C83" s="232" t="n"/>
      <c r="D83" s="233" t="n"/>
      <c r="E83" s="360" t="inlineStr">
        <is>
          <t>No</t>
        </is>
      </c>
      <c r="F83" s="421" t="n"/>
      <c r="G83" s="390" t="inlineStr">
        <is>
          <t>RCG 23 Ter fr. IV</t>
        </is>
      </c>
      <c r="H83" s="232" t="n"/>
      <c r="I83" s="233" t="n"/>
    </row>
    <row r="84" ht="15" customHeight="1" s="225">
      <c r="B84" s="382" t="inlineStr">
        <is>
          <t>Operación que se aparta del patrón habitual del Cliente</t>
        </is>
      </c>
      <c r="C84" s="232" t="n"/>
      <c r="D84" s="233" t="n"/>
      <c r="E84" s="360" t="inlineStr">
        <is>
          <t>No</t>
        </is>
      </c>
      <c r="F84" s="421" t="n"/>
      <c r="G84" s="390" t="inlineStr">
        <is>
          <t>RCG 23 Ter 2</t>
        </is>
      </c>
      <c r="H84" s="232" t="n"/>
      <c r="I84" s="233" t="n"/>
    </row>
    <row r="85" ht="15" customHeight="1" s="225">
      <c r="B85" s="422" t="inlineStr">
        <is>
          <t>¿Procede revisar el Grado de Riesgo?</t>
        </is>
      </c>
      <c r="E85" s="423">
        <f>IF(COUNTIF($E$79:$E$84,"Sí")&gt;0,"SÍ · REVISAR EL GRADO Y DEJAR CONSTANCIA DEL RESULTADO","Sin eventos registrados en el periodo")</f>
        <v/>
      </c>
      <c r="F85" s="232" t="n"/>
      <c r="G85" s="232" t="n"/>
      <c r="H85" s="232" t="n"/>
      <c r="I85" s="233" t="n"/>
    </row>
  </sheetData>
  <mergeCells count="64">
    <mergeCell ref="B11:D11"/>
    <mergeCell ref="E10:G10"/>
    <mergeCell ref="B62:I62"/>
    <mergeCell ref="B67:D67"/>
    <mergeCell ref="G50:I51"/>
    <mergeCell ref="B8:D8"/>
    <mergeCell ref="E55:I55"/>
    <mergeCell ref="B3:I3"/>
    <mergeCell ref="E9:G9"/>
    <mergeCell ref="B59:I59"/>
    <mergeCell ref="B66:I66"/>
    <mergeCell ref="B82:D82"/>
    <mergeCell ref="E8:I8"/>
    <mergeCell ref="B69:D69"/>
    <mergeCell ref="G83:I83"/>
    <mergeCell ref="E48:I48"/>
    <mergeCell ref="B10:D10"/>
    <mergeCell ref="B12:I12"/>
    <mergeCell ref="B50:D51"/>
    <mergeCell ref="B58:I58"/>
    <mergeCell ref="E11:G11"/>
    <mergeCell ref="B72:I74"/>
    <mergeCell ref="B77:I77"/>
    <mergeCell ref="G80:I80"/>
    <mergeCell ref="B2:I2"/>
    <mergeCell ref="B84:D84"/>
    <mergeCell ref="G79:I79"/>
    <mergeCell ref="B9:D9"/>
    <mergeCell ref="E50:F51"/>
    <mergeCell ref="B60:I60"/>
    <mergeCell ref="B68:D68"/>
    <mergeCell ref="B83:D83"/>
    <mergeCell ref="B61:I61"/>
    <mergeCell ref="B13:I13"/>
    <mergeCell ref="E47:F47"/>
    <mergeCell ref="B53:I53"/>
    <mergeCell ref="B80:D80"/>
    <mergeCell ref="G84:I84"/>
    <mergeCell ref="E46:F46"/>
    <mergeCell ref="B79:D79"/>
    <mergeCell ref="B38:I38"/>
    <mergeCell ref="B85:D85"/>
    <mergeCell ref="B4:I4"/>
    <mergeCell ref="B37:I37"/>
    <mergeCell ref="G81:I81"/>
    <mergeCell ref="B7:D7"/>
    <mergeCell ref="E68:G68"/>
    <mergeCell ref="G43:I43"/>
    <mergeCell ref="B47:D47"/>
    <mergeCell ref="B81:D81"/>
    <mergeCell ref="E7:I7"/>
    <mergeCell ref="B64:I64"/>
    <mergeCell ref="E67:G67"/>
    <mergeCell ref="B46:D46"/>
    <mergeCell ref="B6:I6"/>
    <mergeCell ref="E54:I54"/>
    <mergeCell ref="E69:I70"/>
    <mergeCell ref="E85:I85"/>
    <mergeCell ref="B45:I45"/>
    <mergeCell ref="B76:I76"/>
    <mergeCell ref="B63:I63"/>
    <mergeCell ref="G82:I82"/>
    <mergeCell ref="B48:D48"/>
    <mergeCell ref="E56:I56"/>
  </mergeCells>
  <dataValidations count="30">
    <dataValidation sqref="E79" showDropDown="0" showInputMessage="0" showErrorMessage="0" allowBlank="0" type="list" errorStyle="stop" operator="between">
      <formula1>"Sí,No"</formula1>
      <formula2>0</formula2>
    </dataValidation>
    <dataValidation sqref="E80" showDropDown="0" showInputMessage="0" showErrorMessage="0" allowBlank="0" type="list" errorStyle="stop" operator="between">
      <formula1>"Sí,No"</formula1>
      <formula2>0</formula2>
    </dataValidation>
    <dataValidation sqref="E81" showDropDown="0" showInputMessage="0" showErrorMessage="0" allowBlank="0" type="list" errorStyle="stop" operator="between">
      <formula1>"Sí,No"</formula1>
      <formula2>0</formula2>
    </dataValidation>
    <dataValidation sqref="E82" showDropDown="0" showInputMessage="0" showErrorMessage="0" allowBlank="0" type="list" errorStyle="stop" operator="between">
      <formula1>"Sí,No"</formula1>
      <formula2>0</formula2>
    </dataValidation>
    <dataValidation sqref="E83" showDropDown="0" showInputMessage="0" showErrorMessage="0" allowBlank="0" type="list" errorStyle="stop" operator="between">
      <formula1>"Sí,No"</formula1>
      <formula2>0</formula2>
    </dataValidation>
    <dataValidation sqref="E84" showDropDown="0" showInputMessage="0" showErrorMessage="0" allowBlank="0" type="list" errorStyle="stop" operator="between">
      <formula1>"Sí,No"</formula1>
      <formula2>0</formula2>
    </dataValidation>
    <dataValidation sqref="E15" showDropDown="0" showInputMessage="0" showErrorMessage="0" allowBlank="0" type="list" errorStyle="stop" operator="between">
      <formula1>V_F01</formula1>
      <formula2>0</formula2>
    </dataValidation>
    <dataValidation sqref="E16" showDropDown="0" showInputMessage="0" showErrorMessage="0" allowBlank="0" type="list" errorStyle="stop" operator="between">
      <formula1>V_F02</formula1>
      <formula2>0</formula2>
    </dataValidation>
    <dataValidation sqref="E17" showDropDown="0" showInputMessage="0" showErrorMessage="0" allowBlank="0" type="list" errorStyle="stop" operator="between">
      <formula1>V_F03</formula1>
      <formula2>0</formula2>
    </dataValidation>
    <dataValidation sqref="E18" showDropDown="0" showInputMessage="0" showErrorMessage="0" allowBlank="0" type="list" errorStyle="stop" operator="between">
      <formula1>V_F04</formula1>
      <formula2>0</formula2>
    </dataValidation>
    <dataValidation sqref="E19" showDropDown="0" showInputMessage="0" showErrorMessage="0" allowBlank="0" type="list" errorStyle="stop" operator="between">
      <formula1>V_F05</formula1>
      <formula2>0</formula2>
    </dataValidation>
    <dataValidation sqref="E20" showDropDown="0" showInputMessage="0" showErrorMessage="0" allowBlank="0" type="list" errorStyle="stop" operator="between">
      <formula1>V_F06</formula1>
      <formula2>0</formula2>
    </dataValidation>
    <dataValidation sqref="E21" showDropDown="0" showInputMessage="0" showErrorMessage="0" allowBlank="0" type="list" errorStyle="stop" operator="between">
      <formula1>V_F07</formula1>
      <formula2>0</formula2>
    </dataValidation>
    <dataValidation sqref="E22" showDropDown="0" showInputMessage="0" showErrorMessage="0" allowBlank="0" type="list" errorStyle="stop" operator="between">
      <formula1>V_F08</formula1>
      <formula2>0</formula2>
    </dataValidation>
    <dataValidation sqref="E23" showDropDown="0" showInputMessage="0" showErrorMessage="0" allowBlank="0" type="list" errorStyle="stop" operator="between">
      <formula1>V_F09</formula1>
      <formula2>0</formula2>
    </dataValidation>
    <dataValidation sqref="E24" showDropDown="0" showInputMessage="0" showErrorMessage="0" allowBlank="0" type="list" errorStyle="stop" operator="between">
      <formula1>V_F10</formula1>
      <formula2>0</formula2>
    </dataValidation>
    <dataValidation sqref="E25" showDropDown="0" showInputMessage="0" showErrorMessage="0" allowBlank="0" type="list" errorStyle="stop" operator="between">
      <formula1>V_F11</formula1>
      <formula2>0</formula2>
    </dataValidation>
    <dataValidation sqref="E26" showDropDown="0" showInputMessage="0" showErrorMessage="0" allowBlank="0" type="list" errorStyle="stop" operator="between">
      <formula1>V_F12</formula1>
      <formula2>0</formula2>
    </dataValidation>
    <dataValidation sqref="E27" showDropDown="0" showInputMessage="0" showErrorMessage="0" allowBlank="0" type="list" errorStyle="stop" operator="between">
      <formula1>V_F13</formula1>
      <formula2>0</formula2>
    </dataValidation>
    <dataValidation sqref="E28" showDropDown="0" showInputMessage="0" showErrorMessage="0" allowBlank="0" type="list" errorStyle="stop" operator="between">
      <formula1>V_F14</formula1>
      <formula2>0</formula2>
    </dataValidation>
    <dataValidation sqref="E29" showDropDown="0" showInputMessage="0" showErrorMessage="0" allowBlank="0" type="list" errorStyle="stop" operator="between">
      <formula1>V_F15</formula1>
      <formula2>0</formula2>
    </dataValidation>
    <dataValidation sqref="E30" showDropDown="0" showInputMessage="0" showErrorMessage="0" allowBlank="0" type="list" errorStyle="stop" operator="between">
      <formula1>V_F16</formula1>
      <formula2>0</formula2>
    </dataValidation>
    <dataValidation sqref="E31" showDropDown="0" showInputMessage="0" showErrorMessage="0" allowBlank="0" type="list" errorStyle="stop" operator="between">
      <formula1>V_F17</formula1>
      <formula2>0</formula2>
    </dataValidation>
    <dataValidation sqref="E32" showDropDown="0" showInputMessage="0" showErrorMessage="0" allowBlank="0" type="list" errorStyle="stop" operator="between">
      <formula1>V_F18</formula1>
      <formula2>0</formula2>
    </dataValidation>
    <dataValidation sqref="E33" showDropDown="0" showInputMessage="0" showErrorMessage="0" allowBlank="0" type="list" errorStyle="stop" operator="between">
      <formula1>V_F19</formula1>
      <formula2>0</formula2>
    </dataValidation>
    <dataValidation sqref="E34" showDropDown="0" showInputMessage="0" showErrorMessage="0" allowBlank="0" type="list" errorStyle="stop" operator="between">
      <formula1>V_F20</formula1>
      <formula2>0</formula2>
    </dataValidation>
    <dataValidation sqref="E35" showDropDown="0" showInputMessage="0" showErrorMessage="0" allowBlank="0" type="list" errorStyle="stop" operator="between">
      <formula1>V_F21</formula1>
      <formula2>0</formula2>
    </dataValidation>
    <dataValidation sqref="E36" showDropDown="0" showInputMessage="0" showErrorMessage="0" allowBlank="0" type="list" errorStyle="stop" operator="between">
      <formula1>V_F22</formula1>
      <formula2>0</formula2>
    </dataValidation>
    <dataValidation sqref="E10" showDropDown="0" showInputMessage="0" showErrorMessage="0" allowBlank="0" type="list" errorStyle="stop" operator="between">
      <formula1>"Sí,No"</formula1>
      <formula2>0</formula2>
    </dataValidation>
    <dataValidation sqref="E11" showDropDown="0" showInputMessage="0" showErrorMessage="0" allowBlank="0" type="list" errorStyle="stop" operator="between">
      <formula1>"Sí,No"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tabColor rgb="FF808080"/>
    <outlinePr summaryBelow="1" summaryRight="1"/>
    <pageSetUpPr fitToPage="0"/>
  </sheetPr>
  <dimension ref="B2:K4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224" min="2" max="2"/>
    <col width="14" customWidth="1" style="224" min="3" max="3"/>
    <col width="42" customWidth="1" style="224" min="4" max="4"/>
    <col width="16" customWidth="1" style="224" min="5" max="7"/>
    <col width="20" customWidth="1" style="224" min="8" max="8"/>
    <col width="16" customWidth="1" style="224" min="9" max="9"/>
    <col width="30" customWidth="1" style="224" min="10" max="10"/>
    <col width="8" customWidth="1" style="224" min="11" max="11"/>
  </cols>
  <sheetData>
    <row r="2" ht="21.75" customHeight="1" s="225">
      <c r="B2" s="227" t="inlineStr">
        <is>
          <t>PARÁMETROS Y ESCALAS DE LA METODOLOGÍA</t>
        </is>
      </c>
    </row>
    <row r="3" ht="15" customHeight="1" s="225">
      <c r="B3" s="228" t="inlineStr">
        <is>
          <t>Base técnica reglas / CNBV / GAFILAT. Solo edita el valor de la UMA y el Nivel de Tolerancia.</t>
        </is>
      </c>
    </row>
    <row r="4" ht="15" customHeight="1" s="225">
      <c r="B4" s="230" t="inlineStr">
        <is>
          <t>Paso 0 de 10  ·  Se configura una vez  ·  Sigue: INICIO</t>
        </is>
      </c>
    </row>
    <row r="5" ht="15" customHeight="1" s="225">
      <c r="B5" s="231" t="inlineStr">
        <is>
          <t>ESCALA DE CALIFICACIÓN (qué tan riesgoso)</t>
        </is>
      </c>
      <c r="C5" s="232" t="n"/>
      <c r="D5" s="233" t="n"/>
      <c r="F5" s="231" t="inlineStr">
        <is>
          <t>ESCALA DE CONCENTRACIÓN (qué tan expuesto)</t>
        </is>
      </c>
      <c r="G5" s="232" t="n"/>
      <c r="H5" s="233" t="n"/>
    </row>
    <row r="6" ht="21.75" customHeight="1" s="225">
      <c r="B6" s="424" t="n">
        <v>1</v>
      </c>
      <c r="C6" s="345" t="inlineStr">
        <is>
          <t>Muy bajo</t>
        </is>
      </c>
      <c r="D6" s="425" t="inlineStr">
        <is>
          <t>Perfil de bajo riesgo</t>
        </is>
      </c>
      <c r="F6" s="424" t="n">
        <v>1</v>
      </c>
      <c r="G6" s="345" t="inlineStr">
        <is>
          <t>Mínima</t>
        </is>
      </c>
      <c r="H6" s="425" t="inlineStr">
        <is>
          <t>Casi nada del negocio expuesto</t>
        </is>
      </c>
    </row>
    <row r="7" ht="15" customHeight="1" s="225">
      <c r="B7" s="424" t="n">
        <v>2</v>
      </c>
      <c r="C7" s="345" t="inlineStr">
        <is>
          <t>Bajo</t>
        </is>
      </c>
      <c r="D7" s="425" t="inlineStr">
        <is>
          <t>Riesgo limitado</t>
        </is>
      </c>
      <c r="F7" s="424" t="n">
        <v>2</v>
      </c>
      <c r="G7" s="345" t="inlineStr">
        <is>
          <t>Baja</t>
        </is>
      </c>
      <c r="H7" s="425" t="inlineStr">
        <is>
          <t>Parte menor expuesta</t>
        </is>
      </c>
    </row>
    <row r="8" ht="15" customHeight="1" s="225">
      <c r="B8" s="424" t="n">
        <v>3</v>
      </c>
      <c r="C8" s="345" t="inlineStr">
        <is>
          <t>Medio</t>
        </is>
      </c>
      <c r="D8" s="425" t="inlineStr">
        <is>
          <t>Riesgo moderado</t>
        </is>
      </c>
      <c r="F8" s="424" t="n">
        <v>3</v>
      </c>
      <c r="G8" s="345" t="inlineStr">
        <is>
          <t>Media</t>
        </is>
      </c>
      <c r="H8" s="425" t="inlineStr">
        <is>
          <t>Parte relevante expuesta</t>
        </is>
      </c>
    </row>
    <row r="9" ht="15" customHeight="1" s="225">
      <c r="B9" s="424" t="n">
        <v>4</v>
      </c>
      <c r="C9" s="345" t="inlineStr">
        <is>
          <t>Alto</t>
        </is>
      </c>
      <c r="D9" s="425" t="inlineStr">
        <is>
          <t>Riesgo elevado</t>
        </is>
      </c>
      <c r="F9" s="424" t="n">
        <v>4</v>
      </c>
      <c r="G9" s="345" t="inlineStr">
        <is>
          <t>Alta</t>
        </is>
      </c>
      <c r="H9" s="425" t="inlineStr">
        <is>
          <t>Buena parte expuesta</t>
        </is>
      </c>
    </row>
    <row r="10" ht="21.75" customHeight="1" s="225">
      <c r="B10" s="424" t="n">
        <v>5</v>
      </c>
      <c r="C10" s="345" t="inlineStr">
        <is>
          <t>Muy alto</t>
        </is>
      </c>
      <c r="D10" s="425" t="inlineStr">
        <is>
          <t>Riesgo crítico</t>
        </is>
      </c>
      <c r="F10" s="424" t="n">
        <v>5</v>
      </c>
      <c r="G10" s="345" t="inlineStr">
        <is>
          <t>Muy alta</t>
        </is>
      </c>
      <c r="H10" s="425" t="inlineStr">
        <is>
          <t>La mayoría del negocio expuesto</t>
        </is>
      </c>
    </row>
    <row r="11" ht="15" customHeight="1" s="225">
      <c r="B11" s="386" t="inlineStr">
        <is>
          <t>Esta escala de cinco es para el riesgo de la ENTIDAD (hojas A1 a A9). Con tres niveles el resultado queda muy compacto y casi todo sale «medio».</t>
        </is>
      </c>
    </row>
    <row r="13" ht="15" customHeight="1" s="225">
      <c r="B13" s="231" t="inlineStr">
        <is>
          <t>NIVELES DE RIESGO (Calificación × Concentración)</t>
        </is>
      </c>
      <c r="C13" s="232" t="n"/>
      <c r="D13" s="232" t="n"/>
      <c r="E13" s="232" t="n"/>
      <c r="F13" s="233" t="n"/>
      <c r="H13" s="426" t="inlineStr">
        <is>
          <t>ESCALA DE EVALUACIÓN DE OBLIGACIONES (Art. 48 de las Reglas)</t>
        </is>
      </c>
      <c r="I13" s="232" t="n"/>
      <c r="J13" s="232" t="n"/>
      <c r="K13" s="233" t="n"/>
    </row>
    <row r="14" ht="15" customHeight="1" s="225">
      <c r="B14" s="344" t="inlineStr">
        <is>
          <t>Límite inf.</t>
        </is>
      </c>
      <c r="C14" s="344" t="inlineStr">
        <is>
          <t>De</t>
        </is>
      </c>
      <c r="D14" s="344" t="inlineStr">
        <is>
          <t>A</t>
        </is>
      </c>
      <c r="E14" s="344" t="inlineStr">
        <is>
          <t>Nivel</t>
        </is>
      </c>
      <c r="F14" s="344" t="inlineStr">
        <is>
          <t>Color</t>
        </is>
      </c>
      <c r="H14" s="305" t="inlineStr">
        <is>
          <t>Resultado</t>
        </is>
      </c>
      <c r="I14" s="305" t="inlineStr">
        <is>
          <t>Equivale a</t>
        </is>
      </c>
      <c r="J14" s="305" t="inlineStr">
        <is>
          <t>Cuándo se usa (Art. 48)</t>
        </is>
      </c>
      <c r="K14" s="233" t="n"/>
    </row>
    <row r="15" ht="15" customHeight="1" s="225">
      <c r="B15" s="427" t="n">
        <v>0</v>
      </c>
      <c r="C15" s="427" t="n">
        <v>1</v>
      </c>
      <c r="D15" s="427" t="n">
        <v>5</v>
      </c>
      <c r="E15" s="424" t="inlineStr">
        <is>
          <t>BAJO</t>
        </is>
      </c>
      <c r="F15" s="428" t="n"/>
      <c r="H15" s="429" t="inlineStr">
        <is>
          <t>Cumple</t>
        </is>
      </c>
      <c r="I15" s="430" t="n">
        <v>1</v>
      </c>
      <c r="J15" s="431" t="inlineStr">
        <is>
          <t>La eficacia del cumplimiento se demuestra y el auditor no recomienda mejoras.</t>
        </is>
      </c>
      <c r="K15" s="233" t="n"/>
    </row>
    <row r="16" ht="15" customHeight="1" s="225">
      <c r="B16" s="427" t="n">
        <v>5.01</v>
      </c>
      <c r="C16" s="427" t="n">
        <v>6</v>
      </c>
      <c r="D16" s="427" t="n">
        <v>9</v>
      </c>
      <c r="E16" s="424" t="inlineStr">
        <is>
          <t>MEDIO BAJO</t>
        </is>
      </c>
      <c r="F16" s="432" t="n"/>
      <c r="H16" s="429" t="inlineStr">
        <is>
          <t>Cumple mayoritariamente</t>
        </is>
      </c>
      <c r="I16" s="430" t="n">
        <v>0.75</v>
      </c>
      <c r="J16" s="431" t="inlineStr">
        <is>
          <t>La eficacia no se demuestra por completo; hay al menos una recomendación de mejora.</t>
        </is>
      </c>
      <c r="K16" s="233" t="n"/>
    </row>
    <row r="17" ht="15" customHeight="1" s="225">
      <c r="B17" s="427" t="n">
        <v>9.01</v>
      </c>
      <c r="C17" s="427" t="n">
        <v>10</v>
      </c>
      <c r="D17" s="427" t="n">
        <v>12</v>
      </c>
      <c r="E17" s="424" t="inlineStr">
        <is>
          <t>MEDIO</t>
        </is>
      </c>
      <c r="F17" s="433" t="n"/>
      <c r="H17" s="429" t="inlineStr">
        <is>
          <t>Cumple parcialmente</t>
        </is>
      </c>
      <c r="I17" s="430" t="n">
        <v>0.4</v>
      </c>
      <c r="J17" s="431" t="inlineStr">
        <is>
          <t>La eficacia no se demuestra por no contar con evidencia objetiva; hay al menos un hallazgo.</t>
        </is>
      </c>
      <c r="K17" s="233" t="n"/>
    </row>
    <row r="18" ht="15" customHeight="1" s="225">
      <c r="B18" s="427" t="n">
        <v>12.01</v>
      </c>
      <c r="C18" s="427" t="n">
        <v>13</v>
      </c>
      <c r="D18" s="427" t="n">
        <v>16</v>
      </c>
      <c r="E18" s="424" t="inlineStr">
        <is>
          <t>MEDIO ALTO</t>
        </is>
      </c>
      <c r="F18" s="434" t="n"/>
      <c r="H18" s="429" t="inlineStr">
        <is>
          <t>No cumple</t>
        </is>
      </c>
      <c r="I18" s="430" t="n">
        <v>0</v>
      </c>
      <c r="J18" s="431" t="inlineStr">
        <is>
          <t>No cubre los elementos necesarios o actualiza una sanción. No mitiga: computa 0%.</t>
        </is>
      </c>
      <c r="K18" s="233" t="n"/>
    </row>
    <row r="19" ht="15" customHeight="1" s="225">
      <c r="B19" s="427" t="n">
        <v>16.01</v>
      </c>
      <c r="C19" s="427" t="n">
        <v>17</v>
      </c>
      <c r="D19" s="427" t="n">
        <v>25</v>
      </c>
      <c r="E19" s="424" t="inlineStr">
        <is>
          <t>ALTO</t>
        </is>
      </c>
      <c r="F19" s="435" t="n"/>
      <c r="H19" s="429" t="inlineStr">
        <is>
          <t>No aplica</t>
        </is>
      </c>
      <c r="I19" s="430" t="inlineStr">
        <is>
          <t>—</t>
        </is>
      </c>
      <c r="J19" s="431" t="inlineStr">
        <is>
          <t>La obligación no es exigible (Art. 37 Bis 2). Sale del numerador y del denominador.</t>
        </is>
      </c>
      <c r="K19" s="233" t="n"/>
    </row>
    <row r="20" ht="23.25" customHeight="1" s="225">
      <c r="B20" s="257" t="inlineStr">
        <is>
          <t>OJO · Estos cinco niveles son de la ENTIDAD. El GRADO DE RIESGO DEL CLIENTE (hoja B CLIENTE) va en TRES: bajo, medio y alto — es el mínimo del Art. 23 Bis. No se mezclan.</t>
        </is>
      </c>
      <c r="H20" s="277" t="n"/>
      <c r="I20" s="274" t="n"/>
      <c r="J20" s="425" t="n"/>
      <c r="K20" s="233" t="n"/>
    </row>
    <row r="21" ht="15" customHeight="1" s="225">
      <c r="H21" s="295" t="inlineStr">
        <is>
          <t>Editable (celdas amarillas): es el porcentaje que reconoces a cada resultado del Art. 48. «No cumple» vale 0% porque puede actualizar una sanción: no puede mitigar. «No aplica» no tiene porcentaje: la obligación sale del numerador y del denominador conforme al Art. 37 Bis 2.</t>
        </is>
      </c>
    </row>
    <row r="22" ht="57" customHeight="1" s="225">
      <c r="B22" s="241" t="inlineStr">
        <is>
          <t>VALOR DIARIO DE LA UMA (MXN) — actualízalo cada año:</t>
        </is>
      </c>
      <c r="C22" s="436" t="n">
        <v>117.31</v>
      </c>
      <c r="D22" s="228" t="inlineStr">
        <is>
          <t>Vigente desde 1-feb-2026 (INEGI). Recalcula los umbrales MXN del catálogo.</t>
        </is>
      </c>
    </row>
    <row r="24" ht="15" customHeight="1" s="225">
      <c r="B24" s="231" t="inlineStr">
        <is>
          <t>NIVEL DE TOLERANCIA AL RIESGO (editable)</t>
        </is>
      </c>
      <c r="C24" s="232" t="n"/>
      <c r="D24" s="233" t="n"/>
    </row>
    <row r="25" ht="34.5" customHeight="1" s="225">
      <c r="B25" s="277" t="inlineStr">
        <is>
          <t>Riesgo máximo aceptable:</t>
        </is>
      </c>
      <c r="C25" s="289" t="inlineStr">
        <is>
          <t>MEDIO</t>
        </is>
      </c>
    </row>
    <row r="28" ht="21" customHeight="1" s="225">
      <c r="B28" s="272" t="inlineStr">
        <is>
          <t>MITIGACIÓN: TOPE MÁXIMO DE REDUCCIÓN (editable)</t>
        </is>
      </c>
    </row>
    <row r="29" ht="15" customHeight="1" s="225">
      <c r="B29" s="285" t="inlineStr">
        <is>
          <t>La efectividad promedio de tus mitigantes no se traslada íntegra al resultado: se multiplica por este tope. Con 50%, aunque todos tus controles fueran Óptimos, el riesgo inherente se reduce a la mitad y nunca a cero. El control mitiga, no elimina.</t>
        </is>
      </c>
    </row>
    <row r="30" ht="15" customHeight="1" s="225">
      <c r="B30" s="325" t="inlineStr">
        <is>
          <t>Tope de reducción:</t>
        </is>
      </c>
      <c r="C30" s="274" t="n">
        <v>0.5</v>
      </c>
    </row>
    <row r="31" ht="15" customHeight="1" s="225">
      <c r="B31" s="324" t="inlineStr">
        <is>
          <t>Reducción aplicada = Efectividad del catálogo de controles mínimos (hoja A4 CONTROLES MINIMOS) × Tope de reducción.</t>
        </is>
      </c>
    </row>
    <row r="32" ht="15" customHeight="1" s="225">
      <c r="B32" s="324" t="inlineStr">
        <is>
          <t>Riesgo residual = Riesgo inherente × (1 − Reducción aplicada). La misma reducción se aplica al indicador, al elemento y a la entidad.</t>
        </is>
      </c>
    </row>
    <row r="33" ht="15" customHeight="1" s="225">
      <c r="B33" s="256" t="inlineStr">
        <is>
          <t>Si subes el tope, súbelo con criterio escrito: en Actividades Vulnerables el nivel de riesgo tiene consecuencias automáticas (régimen de auditoría del Cap. XIV y medidas simplificadas del Art. 15 del Reglamento). Un tope generoso no es un ahorro: es una exposición.</t>
        </is>
      </c>
    </row>
    <row r="38" ht="21" customHeight="1" s="225">
      <c r="B38" s="272" t="inlineStr">
        <is>
          <t>CRITERIOS DE CALIBRACIÓN DOCUMENTADOS (por qué el número es el que es)</t>
        </is>
      </c>
    </row>
    <row r="39" ht="15" customHeight="1" s="225">
      <c r="B39" s="231" t="inlineStr">
        <is>
          <t>Regla</t>
        </is>
      </c>
      <c r="C39" s="233" t="n"/>
      <c r="D39" s="231" t="inlineStr">
        <is>
          <t>Fórmula</t>
        </is>
      </c>
      <c r="E39" s="231" t="inlineStr">
        <is>
          <t>Criterio y por qué</t>
        </is>
      </c>
      <c r="F39" s="232" t="n"/>
      <c r="G39" s="232" t="n"/>
      <c r="H39" s="232" t="n"/>
      <c r="I39" s="232" t="n"/>
      <c r="J39" s="233" t="n"/>
    </row>
    <row r="40" ht="30" customHeight="1" s="225">
      <c r="B40" s="284" t="inlineStr">
        <is>
          <t>Calificación</t>
        </is>
      </c>
      <c r="C40" s="233" t="n"/>
      <c r="D40" s="368" t="inlineStr">
        <is>
          <t>5×%Alto + 3×%Medio + 1×%Bajo, redondeado</t>
        </is>
      </c>
      <c r="E40" s="368" t="inlineStr">
        <is>
          <t>Escala de 1 a 5 ponderada por la proporción real del negocio en cada perfil. No es un promedio de opiniones: es la mezcla declarada en A1.</t>
        </is>
      </c>
      <c r="F40" s="232" t="n"/>
      <c r="G40" s="232" t="n"/>
      <c r="H40" s="232" t="n"/>
      <c r="I40" s="232" t="n"/>
      <c r="J40" s="233" t="n"/>
    </row>
    <row r="41" ht="43.5" customHeight="1" s="225">
      <c r="B41" s="284" t="inlineStr">
        <is>
          <t>Concentración</t>
        </is>
      </c>
      <c r="C41" s="233" t="n"/>
      <c r="D41" s="368" t="inlineStr">
        <is>
          <t>1 + 4×(%Alto + %Medio), redondeado</t>
        </is>
      </c>
      <c r="E41" s="368" t="inlineStr">
        <is>
          <t>Criterio conservador y deliberado: el perfil MEDIO se cuenta como plenamente expuesto, y solo la porción clasificada en BAJO reduce la concentración. Si tu metodología prefiere ponderar el medio al 50%, cámbialo aquí y documenta el cambio: lo defendible es que el criterio esté escrito.</t>
        </is>
      </c>
      <c r="F41" s="232" t="n"/>
      <c r="G41" s="232" t="n"/>
      <c r="H41" s="232" t="n"/>
      <c r="I41" s="232" t="n"/>
      <c r="J41" s="233" t="n"/>
    </row>
    <row r="42" ht="30" customHeight="1" s="225">
      <c r="B42" s="284" t="inlineStr">
        <is>
          <t>Riesgo inherente</t>
        </is>
      </c>
      <c r="C42" s="233" t="n"/>
      <c r="D42" s="368" t="inlineStr">
        <is>
          <t>Calificación × Concentración</t>
        </is>
      </c>
      <c r="E42" s="368" t="inlineStr">
        <is>
          <t>Rango de 1 a 25. Los cortes entre BAJO, MEDIO BAJO, MEDIO, MEDIO ALTO y ALTO son los de la tabla de niveles de esta misma hoja y pueden editarse.</t>
        </is>
      </c>
      <c r="F42" s="232" t="n"/>
      <c r="G42" s="232" t="n"/>
      <c r="H42" s="232" t="n"/>
      <c r="I42" s="232" t="n"/>
      <c r="J42" s="233" t="n"/>
    </row>
    <row r="43" ht="51.75" customHeight="1" s="225">
      <c r="B43" s="284" t="inlineStr">
        <is>
          <t>Riesgo residual</t>
        </is>
      </c>
      <c r="C43" s="233" t="n"/>
      <c r="D43" s="368" t="inlineStr">
        <is>
          <t>Riesgo inherente × (1 − Reducción aplicada)</t>
        </is>
      </c>
      <c r="E43" s="368" t="inlineStr">
        <is>
          <t>La reducción es un porcentaje, no una división: Reducción = Efectividad × Tope. La efectividad se mide contra un denominador fijo: las 14 obligaciones del catálogo de contenidos mínimos del Manual (Art. 37 Bis), menos las excluidas por «No aplica» conforme al Art. 37 Bis 2. Una obligación no registrada no se excluye: computa 0%. Los mitigantes se miden una sola vez, a nivel de la entidad, y esa misma reducción se aplica al indicador, al elemento y a la entidad.</t>
        </is>
      </c>
      <c r="F43" s="232" t="n"/>
      <c r="G43" s="232" t="n"/>
      <c r="H43" s="232" t="n"/>
      <c r="I43" s="232" t="n"/>
      <c r="J43" s="233" t="n"/>
    </row>
    <row r="44" ht="30" customHeight="1" s="225">
      <c r="B44" s="284" t="inlineStr">
        <is>
          <t>Peso de los indicadores</t>
        </is>
      </c>
      <c r="C44" s="233" t="n"/>
      <c r="D44" s="368" t="inlineStr">
        <is>
          <t>Relativo dentro de cada elemento (A1, columna Peso)</t>
        </is>
      </c>
      <c r="E44" s="368" t="inlineStr">
        <is>
          <t>El cálculo es un promedio ponderado, así que los pesos se normalizan solos: no tienen que sumar 1. Lo que importa es la proporción entre ellos.</t>
        </is>
      </c>
      <c r="F44" s="232" t="n"/>
      <c r="G44" s="232" t="n"/>
      <c r="H44" s="232" t="n"/>
      <c r="I44" s="232" t="n"/>
      <c r="J44" s="233" t="n"/>
    </row>
    <row r="45" ht="43.5" customHeight="1" s="225">
      <c r="B45" s="284" t="inlineStr">
        <is>
          <t>Peso de los elementos</t>
        </is>
      </c>
      <c r="C45" s="233" t="n"/>
      <c r="D45" s="368" t="inlineStr">
        <is>
          <t>Debe sumar 100% (A1, celdas D35:D38)</t>
        </is>
      </c>
      <c r="E45" s="368" t="inlineStr">
        <is>
          <t>Se captura y se justifica por escrito en la propia hoja A1 (Art. 10 Septies 1, fr. II: el valor se asigna en función de la importancia del elemento). Un reparto plano de 25/25/25/25 sin justificación se lee como que no se ponderó.</t>
        </is>
      </c>
      <c r="F45" s="232" t="n"/>
      <c r="G45" s="232" t="n"/>
      <c r="H45" s="232" t="n"/>
      <c r="I45" s="232" t="n"/>
      <c r="J45" s="233" t="n"/>
    </row>
    <row r="47" ht="15" customHeight="1" s="225">
      <c r="B47" s="285" t="inlineStr">
        <is>
          <t>Estos criterios forman parte de la metodología que debe describirse en el Manual (Art. 10 Septies, segundo párrafo). Si cambias un criterio, cámbialo también ahí.</t>
        </is>
      </c>
    </row>
  </sheetData>
  <mergeCells count="28">
    <mergeCell ref="H13:K13"/>
    <mergeCell ref="F5:H5"/>
    <mergeCell ref="J14:K14"/>
    <mergeCell ref="E40:J40"/>
    <mergeCell ref="J19:K19"/>
    <mergeCell ref="B38:J38"/>
    <mergeCell ref="B43:C43"/>
    <mergeCell ref="B39:C39"/>
    <mergeCell ref="B28:G28"/>
    <mergeCell ref="J15:K15"/>
    <mergeCell ref="E45:J45"/>
    <mergeCell ref="B42:C42"/>
    <mergeCell ref="B24:D24"/>
    <mergeCell ref="B13:F13"/>
    <mergeCell ref="E41:J41"/>
    <mergeCell ref="B44:C44"/>
    <mergeCell ref="B5:D5"/>
    <mergeCell ref="J20:K20"/>
    <mergeCell ref="J16:K16"/>
    <mergeCell ref="E43:J43"/>
    <mergeCell ref="B40:C40"/>
    <mergeCell ref="E42:J42"/>
    <mergeCell ref="B45:C45"/>
    <mergeCell ref="J18:K18"/>
    <mergeCell ref="E39:J39"/>
    <mergeCell ref="B41:C41"/>
    <mergeCell ref="E44:J44"/>
    <mergeCell ref="J17:K17"/>
  </mergeCells>
  <dataValidations count="1">
    <dataValidation sqref="C25" showDropDown="0" showInputMessage="0" showErrorMessage="0" allowBlank="0" type="list" errorStyle="stop" operator="between">
      <formula1>"BAJO,MEDIO BAJO,MEDIO,MEDIO ALTO,ALTO"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tabColor rgb="FF808080"/>
    <outlinePr summaryBelow="1" summaryRight="1"/>
    <pageSetUpPr fitToPage="0"/>
  </sheetPr>
  <dimension ref="B2:O35"/>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zeroHeight="0" outlineLevelRow="0"/>
  <cols>
    <col width="4" customWidth="1" style="224" min="2" max="2"/>
    <col width="9" customWidth="1" style="224" min="3" max="3"/>
    <col width="34" customWidth="1" style="224" min="4" max="4"/>
    <col width="13" customWidth="1" style="224" min="5" max="5"/>
    <col width="12" customWidth="1" style="224" min="6" max="7"/>
    <col width="15" customWidth="1" style="224" min="8" max="9"/>
    <col width="38" customWidth="1" style="224" min="10" max="12"/>
    <col width="32" customWidth="1" style="224" min="13" max="13"/>
    <col width="30" customWidth="1" style="224" min="14" max="15"/>
  </cols>
  <sheetData>
    <row r="2" ht="21.75" customHeight="1" s="225">
      <c r="B2" s="227" t="inlineStr">
        <is>
          <t>CATÁLOGO DE ACTIVIDADES VULNERABLES (Art. 17 LFPIORPI)</t>
        </is>
      </c>
    </row>
    <row r="3" ht="15" customHeight="1" s="225">
      <c r="B3" s="228" t="inlineStr">
        <is>
          <t>La actividad elegida en INICIO precarga umbrales, características y evento típico.</t>
        </is>
      </c>
    </row>
    <row r="4" ht="15" customHeight="1" s="225">
      <c r="B4" s="230" t="inlineStr">
        <is>
          <t>Referencia: no se edita. La actividad se elige en INICIO.</t>
        </is>
      </c>
    </row>
    <row r="5" ht="34.5" customHeight="1" s="225">
      <c r="B5" s="231" t="inlineStr">
        <is>
          <t>#</t>
        </is>
      </c>
      <c r="C5" s="231" t="inlineStr">
        <is>
          <t>Fracción</t>
        </is>
      </c>
      <c r="D5" s="231" t="inlineStr">
        <is>
          <t>Actividad Vulnerable</t>
        </is>
      </c>
      <c r="E5" s="231" t="inlineStr">
        <is>
          <t>Actividad (elegir en INICIO)</t>
        </is>
      </c>
      <c r="F5" s="231" t="inlineStr">
        <is>
          <t>Umbral identificación (UMA)</t>
        </is>
      </c>
      <c r="G5" s="231" t="inlineStr">
        <is>
          <t>Umbral aviso (UMA)</t>
        </is>
      </c>
      <c r="H5" s="231" t="inlineStr">
        <is>
          <t>Umbral identificación (MXN)</t>
        </is>
      </c>
      <c r="I5" s="231" t="inlineStr">
        <is>
          <t>Umbral aviso (MXN)</t>
        </is>
      </c>
      <c r="J5" s="231" t="inlineStr">
        <is>
          <t>Características ALTO</t>
        </is>
      </c>
      <c r="K5" s="231" t="inlineStr">
        <is>
          <t>Características MEDIO</t>
        </is>
      </c>
      <c r="L5" s="231" t="inlineStr">
        <is>
          <t>Características BAJO</t>
        </is>
      </c>
      <c r="M5" s="231" t="inlineStr">
        <is>
          <t>Evento típico</t>
        </is>
      </c>
      <c r="N5" s="231" t="inlineStr">
        <is>
          <t>Causa</t>
        </is>
      </c>
      <c r="O5" s="231" t="inlineStr">
        <is>
          <t>Consecuencia</t>
        </is>
      </c>
    </row>
    <row r="6" ht="32.25" customHeight="1" s="225">
      <c r="B6" s="437" t="n">
        <v>1</v>
      </c>
      <c r="C6" s="437" t="inlineStr">
        <is>
          <t>I</t>
        </is>
      </c>
      <c r="D6" s="437" t="inlineStr">
        <is>
          <t>Juegos con apuesta</t>
        </is>
      </c>
      <c r="E6" s="437" t="inlineStr">
        <is>
          <t>I - Juegos con apuesta</t>
        </is>
      </c>
      <c r="F6" s="438" t="n">
        <v>325</v>
      </c>
      <c r="G6" s="438" t="n">
        <v>645</v>
      </c>
      <c r="H6" s="439">
        <f>IF(ISNUMBER($F6),$F6*PARAMETROS!$C$22,$F6)</f>
        <v/>
      </c>
      <c r="I6" s="439">
        <f>IF(ISNUMBER($G6),$G6*PARAMETROS!$C$22,$G6)</f>
        <v/>
      </c>
      <c r="J6" s="437" t="inlineStr">
        <is>
          <t>Apuestas en efectivo de alto monto, clientes no frecuentes o extranjeros, apuestas en línea sin trazabilidad clara.</t>
        </is>
      </c>
      <c r="K6" s="437" t="inlineStr">
        <is>
          <t>Apuestas mixtas (efectivo y transferencia), montos moderados, clientes recurrentes.</t>
        </is>
      </c>
      <c r="L6" s="437" t="inlineStr">
        <is>
          <t>Apuestas con tarjeta bancaria o monederos electrónicos, montos bajos y clientes identificables.</t>
        </is>
      </c>
      <c r="M6" s="437" t="inlineStr">
        <is>
          <t>Introducción de efectivo ilícito en casinos o plataformas.</t>
        </is>
      </c>
      <c r="N6" s="437" t="inlineStr">
        <is>
          <t>Uso intensivo de efectivo, dispersión de apuestas.</t>
        </is>
      </c>
      <c r="O6" s="437" t="inlineStr">
        <is>
          <t>Integración de dinero ilícito, sanciones a la entidad, pérdida de licencia.</t>
        </is>
      </c>
    </row>
    <row r="7" ht="32.25" customHeight="1" s="225">
      <c r="B7" s="437" t="n">
        <v>2</v>
      </c>
      <c r="C7" s="437" t="inlineStr">
        <is>
          <t>II</t>
        </is>
      </c>
      <c r="D7" s="437" t="inlineStr">
        <is>
          <t>Tarjetas de crédito o servicios</t>
        </is>
      </c>
      <c r="E7" s="437" t="inlineStr">
        <is>
          <t>II - Tarjetas de crédito o servicios</t>
        </is>
      </c>
      <c r="F7" s="438" t="n">
        <v>805</v>
      </c>
      <c r="G7" s="438" t="n">
        <v>1285</v>
      </c>
      <c r="H7" s="439">
        <f>IF(ISNUMBER($F7),$F7*PARAMETROS!$C$22,$F7)</f>
        <v/>
      </c>
      <c r="I7" s="439">
        <f>IF(ISNUMBER($G7),$G7*PARAMETROS!$C$22,$G7)</f>
        <v/>
      </c>
      <c r="J7" s="437" t="inlineStr">
        <is>
          <t>Uso de tarjetas emitidas en el extranjero o con líneas de crédito inusualmente altas.</t>
        </is>
      </c>
      <c r="K7" s="437" t="inlineStr">
        <is>
          <t>Tarjetas nacionales con uso mixto (efectivo/transferencias) y movimientos atípicos.</t>
        </is>
      </c>
      <c r="L7" s="437" t="inlineStr">
        <is>
          <t>Tarjetas nacionales de clientes con historial crediticio claro y montos habituales.</t>
        </is>
      </c>
      <c r="M7" s="437" t="inlineStr">
        <is>
          <t>Uso de tarjetas para dispersar fondos ilícitos o triangular pagos.</t>
        </is>
      </c>
      <c r="N7" s="437" t="inlineStr">
        <is>
          <t>Montos elevados sin justificación económica.</t>
        </is>
      </c>
      <c r="O7" s="437" t="inlineStr">
        <is>
          <t>Detección por UIF, congelamiento de cuentas, sanciones.</t>
        </is>
      </c>
    </row>
    <row r="8" ht="42.75" customHeight="1" s="225">
      <c r="B8" s="437" t="n">
        <v>3</v>
      </c>
      <c r="C8" s="437" t="inlineStr">
        <is>
          <t>II</t>
        </is>
      </c>
      <c r="D8" s="437" t="inlineStr">
        <is>
          <t>Tarjetas prepagadas y monederos electrónicos</t>
        </is>
      </c>
      <c r="E8" s="437" t="inlineStr">
        <is>
          <t>II - Tarjetas prepagadas y monederos electrónicos</t>
        </is>
      </c>
      <c r="F8" s="438" t="n">
        <v>645</v>
      </c>
      <c r="G8" s="438" t="n">
        <v>645</v>
      </c>
      <c r="H8" s="439">
        <f>IF(ISNUMBER($F8),$F8*PARAMETROS!$C$22,$F8)</f>
        <v/>
      </c>
      <c r="I8" s="439">
        <f>IF(ISNUMBER($G8),$G8*PARAMETROS!$C$22,$G8)</f>
        <v/>
      </c>
      <c r="J8" s="437" t="inlineStr">
        <is>
          <t>Tarjetas recargables en efectivo de alto monto, adquiridas de forma masiva.</t>
        </is>
      </c>
      <c r="K8" s="437" t="inlineStr">
        <is>
          <t>Tarjetas con recargas mixtas (efectivo y transferencia), uso en varios comercios.</t>
        </is>
      </c>
      <c r="L8" s="437" t="inlineStr">
        <is>
          <t>Tarjetas con recarga en cuenta bancaria, límites bajos y trazables.</t>
        </is>
      </c>
      <c r="M8" s="437" t="inlineStr">
        <is>
          <t>Uso de monederos para dispersión y anonimato en transacciones.</t>
        </is>
      </c>
      <c r="N8" s="437" t="inlineStr">
        <is>
          <t>Bajo nivel de identificación en productos masivos.</t>
        </is>
      </c>
      <c r="O8" s="437" t="inlineStr">
        <is>
          <t>Riesgo de operaciones estructuradas y financiamiento ilícito.</t>
        </is>
      </c>
    </row>
    <row r="9" ht="21.75" customHeight="1" s="225">
      <c r="B9" s="437" t="n">
        <v>4</v>
      </c>
      <c r="C9" s="437" t="inlineStr">
        <is>
          <t>III</t>
        </is>
      </c>
      <c r="D9" s="437" t="inlineStr">
        <is>
          <t>Cheques de viajero</t>
        </is>
      </c>
      <c r="E9" s="437" t="inlineStr">
        <is>
          <t>III - Cheques de viajero</t>
        </is>
      </c>
      <c r="F9" s="438" t="inlineStr">
        <is>
          <t>Siempre</t>
        </is>
      </c>
      <c r="G9" s="438" t="n">
        <v>645</v>
      </c>
      <c r="H9" s="439">
        <f>IF(ISNUMBER($F9),$F9*PARAMETROS!$C$22,$F9)</f>
        <v/>
      </c>
      <c r="I9" s="439">
        <f>IF(ISNUMBER($G9),$G9*PARAMETROS!$C$22,$G9)</f>
        <v/>
      </c>
      <c r="J9" s="437" t="inlineStr">
        <is>
          <t>Emisión o adquisición en efectivo, altos montos, operaciones internacionales.</t>
        </is>
      </c>
      <c r="K9" s="437" t="inlineStr">
        <is>
          <t>Cheques adquiridos con mezcla de efectivo y transferencias, uso ocasional.</t>
        </is>
      </c>
      <c r="L9" s="437" t="inlineStr">
        <is>
          <t>Cheques adquiridos con transferencias desde cuentas bancarias de clientes identificados.</t>
        </is>
      </c>
      <c r="M9" s="437" t="inlineStr">
        <is>
          <t>Introducción de recursos ilícitos vía instrumentos internacionales.</t>
        </is>
      </c>
      <c r="N9" s="437" t="inlineStr">
        <is>
          <t>Facilidad de portabilidad y canje en múltiples países.</t>
        </is>
      </c>
      <c r="O9" s="437" t="inlineStr">
        <is>
          <t>Riesgo transfronterizo, sanciones regulatorias, congelamiento de fondos.</t>
        </is>
      </c>
    </row>
    <row r="10" ht="32.25" customHeight="1" s="225">
      <c r="B10" s="437" t="n">
        <v>5</v>
      </c>
      <c r="C10" s="437" t="inlineStr">
        <is>
          <t>IV</t>
        </is>
      </c>
      <c r="D10" s="437" t="inlineStr">
        <is>
          <t>Préstamos o créditos</t>
        </is>
      </c>
      <c r="E10" s="437" t="inlineStr">
        <is>
          <t>IV - Préstamos o créditos</t>
        </is>
      </c>
      <c r="F10" s="438" t="inlineStr">
        <is>
          <t>Siempre</t>
        </is>
      </c>
      <c r="G10" s="438" t="n">
        <v>1605</v>
      </c>
      <c r="H10" s="439">
        <f>IF(ISNUMBER($F10),$F10*PARAMETROS!$C$22,$F10)</f>
        <v/>
      </c>
      <c r="I10" s="439">
        <f>IF(ISNUMBER($G10),$G10*PARAMETROS!$C$22,$G10)</f>
        <v/>
      </c>
      <c r="J10" s="437" t="inlineStr">
        <is>
          <t>Créditos en efectivo, sin garantía real, de monto elevado o a corto plazo, susceptibles de ser liquidados anticipadamente.</t>
        </is>
      </c>
      <c r="K10" s="437" t="inlineStr">
        <is>
          <t>Créditos personales o comerciales de mediano plazo, con garantía parcial o con pagos mixtos (efectivo y transferencia).</t>
        </is>
      </c>
      <c r="L10" s="437" t="inlineStr">
        <is>
          <t>Créditos hipotecarios, automotrices o empresariales con garantías reales, pagos periódicos y trazables vía sistema financiero.</t>
        </is>
      </c>
      <c r="M10" s="437" t="inlineStr">
        <is>
          <t>Uso del crédito para inyectar recursos ilícitos y justificar flujos financieros.</t>
        </is>
      </c>
      <c r="N10" s="437" t="inlineStr">
        <is>
          <t>Flexibilidad de los productos de crédito, posibilidad de pagos en efectivo.</t>
        </is>
      </c>
      <c r="O10" s="437" t="inlineStr">
        <is>
          <t>Riesgo de introducir fondos ilícitos disfrazados de financiamiento.</t>
        </is>
      </c>
    </row>
    <row r="11" ht="42.75" customHeight="1" s="225">
      <c r="B11" s="437" t="n">
        <v>6</v>
      </c>
      <c r="C11" s="437" t="inlineStr">
        <is>
          <t>V</t>
        </is>
      </c>
      <c r="D11" s="437" t="inlineStr">
        <is>
          <t>Construcción/comercialización inmuebles</t>
        </is>
      </c>
      <c r="E11" s="437" t="inlineStr">
        <is>
          <t>V - Construcción/comercialización inmuebles</t>
        </is>
      </c>
      <c r="F11" s="438" t="inlineStr">
        <is>
          <t>Siempre</t>
        </is>
      </c>
      <c r="G11" s="438" t="n">
        <v>8025</v>
      </c>
      <c r="H11" s="439">
        <f>IF(ISNUMBER($F11),$F11*PARAMETROS!$C$22,$F11)</f>
        <v/>
      </c>
      <c r="I11" s="439">
        <f>IF(ISNUMBER($G11),$G11*PARAMETROS!$C$22,$G11)</f>
        <v/>
      </c>
      <c r="J11" s="437" t="inlineStr">
        <is>
          <t>Venta de inmuebles de lujo o múltiples operaciones en preventa con pagos en efectivo.</t>
        </is>
      </c>
      <c r="K11" s="437" t="inlineStr">
        <is>
          <t>Venta de inmuebles de valor medio con esquema de pagos mixtos (efectivo + transferencias).</t>
        </is>
      </c>
      <c r="L11" s="437" t="inlineStr">
        <is>
          <t>Venta de inmuebles de interés social o vivienda regulada con créditos hipotecarios bancarios.</t>
        </is>
      </c>
      <c r="M11" s="437" t="inlineStr">
        <is>
          <t>Uso de operaciones inmobiliarias para introducir o estratificar fondos ilícitos.</t>
        </is>
      </c>
      <c r="N11" s="437" t="inlineStr">
        <is>
          <t>Altos montos y posibilidad de pagos fragmentados.</t>
        </is>
      </c>
      <c r="O11" s="437" t="inlineStr">
        <is>
          <t>Riesgo de sobrevaluación, lavado de activos y sanciones.</t>
        </is>
      </c>
    </row>
    <row r="12" ht="53.25" customHeight="1" s="225">
      <c r="B12" s="437" t="n">
        <v>7</v>
      </c>
      <c r="C12" s="437" t="inlineStr">
        <is>
          <t>V Bis</t>
        </is>
      </c>
      <c r="D12" s="437" t="inlineStr">
        <is>
          <t>Recepción recursos desarrollo inmobiliario</t>
        </is>
      </c>
      <c r="E12" s="437" t="inlineStr">
        <is>
          <t>V Bis - Recepción recursos desarrollo inmobiliario</t>
        </is>
      </c>
      <c r="F12" s="438" t="inlineStr">
        <is>
          <t>Siempre</t>
        </is>
      </c>
      <c r="G12" s="438" t="n">
        <v>8025</v>
      </c>
      <c r="H12" s="439">
        <f>IF(ISNUMBER($F12),$F12*PARAMETROS!$C$22,$F12)</f>
        <v/>
      </c>
      <c r="I12" s="439">
        <f>IF(ISNUMBER($G12),$G12*PARAMETROS!$C$22,$G12)</f>
        <v/>
      </c>
      <c r="J12" s="437" t="inlineStr">
        <is>
          <t>Recepción de aportaciones en efectivo o de múltiples inversionistas no identificados.</t>
        </is>
      </c>
      <c r="K12" s="437" t="inlineStr">
        <is>
          <t>Recursos mixtos (transferencias + efectivo) en proyectos medianos.</t>
        </is>
      </c>
      <c r="L12" s="437" t="inlineStr">
        <is>
          <t>Recursos canalizados vía instituciones financieras con trazabilidad plena y contratos formalizados.</t>
        </is>
      </c>
      <c r="M12" s="437" t="inlineStr">
        <is>
          <t>Canalización de recursos ilícitos a proyectos inmobiliarios.</t>
        </is>
      </c>
      <c r="N12" s="437" t="inlineStr">
        <is>
          <t>Participación de múltiples inversionistas, dificultad en verificar origen de fondos.</t>
        </is>
      </c>
      <c r="O12" s="437" t="inlineStr">
        <is>
          <t>Riesgo de cooptación de proyectos para blanqueo de capitales.</t>
        </is>
      </c>
    </row>
    <row r="13" ht="32.25" customHeight="1" s="225">
      <c r="B13" s="437" t="n">
        <v>8</v>
      </c>
      <c r="C13" s="437" t="inlineStr">
        <is>
          <t>VI</t>
        </is>
      </c>
      <c r="D13" s="437" t="inlineStr">
        <is>
          <t>Piedras y metales preciosos, joyas</t>
        </is>
      </c>
      <c r="E13" s="437" t="inlineStr">
        <is>
          <t>VI - Piedras y metales preciosos, joyas</t>
        </is>
      </c>
      <c r="F13" s="438" t="n">
        <v>805</v>
      </c>
      <c r="G13" s="438" t="n">
        <v>1605</v>
      </c>
      <c r="H13" s="439">
        <f>IF(ISNUMBER($F13),$F13*PARAMETROS!$C$22,$F13)</f>
        <v/>
      </c>
      <c r="I13" s="439">
        <f>IF(ISNUMBER($G13),$G13*PARAMETROS!$C$22,$G13)</f>
        <v/>
      </c>
      <c r="J13" s="437" t="inlineStr">
        <is>
          <t>Operaciones en efectivo, piezas de alto valor unitario, transacciones frecuentes en mercados informales.</t>
        </is>
      </c>
      <c r="K13" s="437" t="inlineStr">
        <is>
          <t>Operaciones con combinación de pagos (efectivo + transferencia), piezas de valor medio, ventas a consignación.</t>
        </is>
      </c>
      <c r="L13" s="437" t="inlineStr">
        <is>
          <t>Ventas con factura a través de establecimientos formales, pagos vía sistema bancario.</t>
        </is>
      </c>
      <c r="M13" s="437" t="inlineStr">
        <is>
          <t>Uso de joyas, metales y piedras para mover y ocultar valor ilícito.</t>
        </is>
      </c>
      <c r="N13" s="437" t="inlineStr">
        <is>
          <t>Portabilidad, alta liquidez y difícil trazabilidad de estos bienes.</t>
        </is>
      </c>
      <c r="O13" s="437" t="inlineStr">
        <is>
          <t>Riesgo de blanqueo transfronterizo y sanciones.</t>
        </is>
      </c>
    </row>
    <row r="14" ht="42.75" customHeight="1" s="225">
      <c r="B14" s="437" t="n">
        <v>9</v>
      </c>
      <c r="C14" s="437" t="inlineStr">
        <is>
          <t>VII</t>
        </is>
      </c>
      <c r="D14" s="437" t="inlineStr">
        <is>
          <t>Subasta/comercialización obras de arte</t>
        </is>
      </c>
      <c r="E14" s="437" t="inlineStr">
        <is>
          <t>VII - Subasta/comercialización obras de arte</t>
        </is>
      </c>
      <c r="F14" s="438" t="n">
        <v>2410</v>
      </c>
      <c r="G14" s="438" t="n">
        <v>4815</v>
      </c>
      <c r="H14" s="439">
        <f>IF(ISNUMBER($F14),$F14*PARAMETROS!$C$22,$F14)</f>
        <v/>
      </c>
      <c r="I14" s="439">
        <f>IF(ISNUMBER($G14),$G14*PARAMETROS!$C$22,$G14)</f>
        <v/>
      </c>
      <c r="J14" s="437" t="inlineStr">
        <is>
          <t>Obras de alto valor, subastas internacionales, piezas sin trazabilidad de propiedad.</t>
        </is>
      </c>
      <c r="K14" s="437" t="inlineStr">
        <is>
          <t>Obras de valor intermedio, galerías locales, pagos mixtos.</t>
        </is>
      </c>
      <c r="L14" s="437" t="inlineStr">
        <is>
          <t>Venta de arte contemporáneo o decorativo de bajo valor con facturación completa.</t>
        </is>
      </c>
      <c r="M14" s="437" t="inlineStr">
        <is>
          <t>Uso del arte para justificar incrementos patrimoniales o transferencias internacionales.</t>
        </is>
      </c>
      <c r="N14" s="437" t="inlineStr">
        <is>
          <t>Valor subjetivo y dificultad en tasación de obras.</t>
        </is>
      </c>
      <c r="O14" s="437" t="inlineStr">
        <is>
          <t>Riesgo de sobrevaluación, subdeclaración y financiamiento ilícito.</t>
        </is>
      </c>
    </row>
    <row r="15" ht="42.75" customHeight="1" s="225">
      <c r="B15" s="437" t="n">
        <v>10</v>
      </c>
      <c r="C15" s="437" t="inlineStr">
        <is>
          <t>VIII</t>
        </is>
      </c>
      <c r="D15" s="437" t="inlineStr">
        <is>
          <t>Distribución/comercialización vehículos</t>
        </is>
      </c>
      <c r="E15" s="437" t="inlineStr">
        <is>
          <t>VIII - Distribución/comercialización vehículos</t>
        </is>
      </c>
      <c r="F15" s="438" t="n">
        <v>3210</v>
      </c>
      <c r="G15" s="438" t="n">
        <v>6420</v>
      </c>
      <c r="H15" s="439">
        <f>IF(ISNUMBER($F15),$F15*PARAMETROS!$C$22,$F15)</f>
        <v/>
      </c>
      <c r="I15" s="439">
        <f>IF(ISNUMBER($G15),$G15*PARAMETROS!$C$22,$G15)</f>
        <v/>
      </c>
      <c r="J15" s="437" t="inlineStr">
        <is>
          <t>Venta de vehículos de lujo o coleccionables, pagos en efectivo, operaciones múltiples en corto plazo.</t>
        </is>
      </c>
      <c r="K15" s="437" t="inlineStr">
        <is>
          <t>Venta de vehículos de gama media con esquemas de financiamiento parcial.</t>
        </is>
      </c>
      <c r="L15" s="437" t="inlineStr">
        <is>
          <t>Venta de vehículos económicos a través de agencias con pagos bancarios y crédito formal.</t>
        </is>
      </c>
      <c r="M15" s="437" t="inlineStr">
        <is>
          <t>Adquisición de vehículos para ocultar origen ilícito de fondos.</t>
        </is>
      </c>
      <c r="N15" s="437" t="inlineStr">
        <is>
          <t>Alto valor de los bienes y posibilidad de liquidación en efectivo.</t>
        </is>
      </c>
      <c r="O15" s="437" t="inlineStr">
        <is>
          <t>Riesgo de acumulación patrimonial ilícita y decomiso.</t>
        </is>
      </c>
    </row>
    <row r="16" ht="21.75" customHeight="1" s="225">
      <c r="B16" s="437" t="n">
        <v>11</v>
      </c>
      <c r="C16" s="437" t="inlineStr">
        <is>
          <t>IX</t>
        </is>
      </c>
      <c r="D16" s="437" t="inlineStr">
        <is>
          <t>Servicios de blindaje</t>
        </is>
      </c>
      <c r="E16" s="437" t="inlineStr">
        <is>
          <t>IX - Servicios de blindaje</t>
        </is>
      </c>
      <c r="F16" s="438" t="n">
        <v>2410</v>
      </c>
      <c r="G16" s="438" t="n">
        <v>4815</v>
      </c>
      <c r="H16" s="439">
        <f>IF(ISNUMBER($F16),$F16*PARAMETROS!$C$22,$F16)</f>
        <v/>
      </c>
      <c r="I16" s="439">
        <f>IF(ISNUMBER($G16),$G16*PARAMETROS!$C$22,$G16)</f>
        <v/>
      </c>
      <c r="J16" s="437" t="inlineStr">
        <is>
          <t>Blindaje de vehículos de lujo y bienes inmuebles con pagos en efectivo.</t>
        </is>
      </c>
      <c r="K16" s="437" t="inlineStr">
        <is>
          <t>Blindaje de vehículos medianos con pagos mixtos.</t>
        </is>
      </c>
      <c r="L16" s="437" t="inlineStr">
        <is>
          <t>Blindaje contratado por empresas reguladas con pagos vía sistema financiero.</t>
        </is>
      </c>
      <c r="M16" s="437" t="inlineStr">
        <is>
          <t>Blindaje usado para protección de recursos ilícitos.</t>
        </is>
      </c>
      <c r="N16" s="437" t="inlineStr">
        <is>
          <t>Alta demanda de efectivo y bienes de alto valor.</t>
        </is>
      </c>
      <c r="O16" s="437" t="inlineStr">
        <is>
          <t>Riesgo de vínculo con delincuencia organizada.</t>
        </is>
      </c>
    </row>
    <row r="17" ht="32.25" customHeight="1" s="225">
      <c r="B17" s="437" t="n">
        <v>12</v>
      </c>
      <c r="C17" s="437" t="inlineStr">
        <is>
          <t>X</t>
        </is>
      </c>
      <c r="D17" s="437" t="inlineStr">
        <is>
          <t>Transporte y custodia de valores</t>
        </is>
      </c>
      <c r="E17" s="437" t="inlineStr">
        <is>
          <t>X - Transporte y custodia de valores</t>
        </is>
      </c>
      <c r="F17" s="438" t="inlineStr">
        <is>
          <t>Siempre</t>
        </is>
      </c>
      <c r="G17" s="438" t="n">
        <v>3210</v>
      </c>
      <c r="H17" s="439">
        <f>IF(ISNUMBER($F17),$F17*PARAMETROS!$C$22,$F17)</f>
        <v/>
      </c>
      <c r="I17" s="439">
        <f>IF(ISNUMBER($G17),$G17*PARAMETROS!$C$22,$G17)</f>
        <v/>
      </c>
      <c r="J17" s="437" t="inlineStr">
        <is>
          <t>Custodia o traslado de valores en efectivo de alto volumen o bienes de alto valor</t>
        </is>
      </c>
      <c r="K17" s="437" t="inlineStr">
        <is>
          <t>Custodia de valores mixtos (efectivo y documentos)</t>
        </is>
      </c>
      <c r="L17" s="437" t="inlineStr">
        <is>
          <t>Custodia de valores financieros documentados (títulos, cheques, transferencias)</t>
        </is>
      </c>
      <c r="M17" s="437" t="inlineStr">
        <is>
          <t>Movilización de efectivo ilícito.</t>
        </is>
      </c>
      <c r="N17" s="437" t="inlineStr">
        <is>
          <t>Dificultad de control en traslado físico.</t>
        </is>
      </c>
      <c r="O17" s="437" t="inlineStr">
        <is>
          <t>Riesgo de decomiso y sanciones.</t>
        </is>
      </c>
    </row>
    <row r="18" ht="21.75" customHeight="1" s="225">
      <c r="B18" s="437" t="n">
        <v>13</v>
      </c>
      <c r="C18" s="437" t="inlineStr">
        <is>
          <t>XI</t>
        </is>
      </c>
      <c r="D18" s="437" t="inlineStr">
        <is>
          <t>Servicios Profesionales</t>
        </is>
      </c>
      <c r="E18" s="437" t="inlineStr">
        <is>
          <t>XI - Servicios Profesionales</t>
        </is>
      </c>
      <c r="F18" s="438" t="inlineStr">
        <is>
          <t>Siempre</t>
        </is>
      </c>
      <c r="G18" s="438" t="inlineStr">
        <is>
          <t>Siempre</t>
        </is>
      </c>
      <c r="H18" s="439">
        <f>IF(ISNUMBER($F18),$F18*PARAMETROS!$C$22,$F18)</f>
        <v/>
      </c>
      <c r="I18" s="439">
        <f>IF(ISNUMBER($G18),$G18*PARAMETROS!$C$22,$G18)</f>
        <v/>
      </c>
      <c r="J18" s="437" t="inlineStr">
        <is>
          <t>Servicios que implican estructuración patrimonial o fiscal compleja</t>
        </is>
      </c>
      <c r="K18" s="437" t="inlineStr">
        <is>
          <t>Servicios especializados de valor intermedio (contratos mercantiles, trámites específicos)</t>
        </is>
      </c>
      <c r="L18" s="437" t="inlineStr">
        <is>
          <t>Servicios rutinarios o administrativos (contabilidad básica, asesoría legal común)</t>
        </is>
      </c>
      <c r="M18" s="437" t="inlineStr">
        <is>
          <t>Profesionales usados para dar apariencia de legalidad.</t>
        </is>
      </c>
      <c r="N18" s="437" t="inlineStr">
        <is>
          <t>Posibilidad de diseñar esquemas opacos.</t>
        </is>
      </c>
      <c r="O18" s="437" t="inlineStr">
        <is>
          <t>Corresponsabilidad legal.</t>
        </is>
      </c>
    </row>
    <row r="19" ht="42.75" customHeight="1" s="225">
      <c r="B19" s="437" t="n">
        <v>14</v>
      </c>
      <c r="C19" s="437" t="inlineStr">
        <is>
          <t>XII</t>
        </is>
      </c>
      <c r="D19" s="437" t="inlineStr">
        <is>
          <t>NOTARIOS: Transmisión de inmuebles</t>
        </is>
      </c>
      <c r="E19" s="437" t="inlineStr">
        <is>
          <t>XII - NOTARIOS: Transmisión de inmuebles</t>
        </is>
      </c>
      <c r="F19" s="438" t="inlineStr">
        <is>
          <t>Siempre</t>
        </is>
      </c>
      <c r="G19" s="438" t="n">
        <v>8000</v>
      </c>
      <c r="H19" s="439">
        <f>IF(ISNUMBER($F19),$F19*PARAMETROS!$C$22,$F19)</f>
        <v/>
      </c>
      <c r="I19" s="439">
        <f>IF(ISNUMBER($G19),$G19*PARAMETROS!$C$22,$G19)</f>
        <v/>
      </c>
      <c r="J19" s="437" t="inlineStr">
        <is>
          <t>Transmisión de inmuebles de alto valor</t>
        </is>
      </c>
      <c r="K19" s="437" t="inlineStr">
        <is>
          <t>Transmisiones de inmuebles de valor intermedio</t>
        </is>
      </c>
      <c r="L19" s="437" t="inlineStr">
        <is>
          <t>Transmisiones de inmuebles de bajo valor o vivienda social</t>
        </is>
      </c>
      <c r="M19" s="437" t="inlineStr">
        <is>
          <t>Uso de escrituras para legitimar recursos ilícitos.</t>
        </is>
      </c>
      <c r="N19" s="437" t="inlineStr">
        <is>
          <t>Alto valor de operaciones notariales.</t>
        </is>
      </c>
      <c r="O19" s="437" t="inlineStr">
        <is>
          <t>Riesgo de nulidad de actos y sanciones.</t>
        </is>
      </c>
    </row>
    <row r="20" ht="42.75" customHeight="1" s="225">
      <c r="B20" s="437" t="n">
        <v>15</v>
      </c>
      <c r="C20" s="437" t="inlineStr">
        <is>
          <t>XII</t>
        </is>
      </c>
      <c r="D20" s="437" t="inlineStr">
        <is>
          <t>NOTARIOS: Poderes irrevocables</t>
        </is>
      </c>
      <c r="E20" s="437" t="inlineStr">
        <is>
          <t>XII - NOTARIOS: Poderes irrevocables</t>
        </is>
      </c>
      <c r="F20" s="438" t="inlineStr">
        <is>
          <t>Siempre</t>
        </is>
      </c>
      <c r="G20" s="438" t="inlineStr">
        <is>
          <t>Siempre</t>
        </is>
      </c>
      <c r="H20" s="439">
        <f>IF(ISNUMBER($F20),$F20*PARAMETROS!$C$22,$F20)</f>
        <v/>
      </c>
      <c r="I20" s="439">
        <f>IF(ISNUMBER($G20),$G20*PARAMETROS!$C$22,$G20)</f>
        <v/>
      </c>
      <c r="J20" s="437" t="inlineStr">
        <is>
          <t>Poderes generales con facultades amplias y sin limitación temporal</t>
        </is>
      </c>
      <c r="K20" s="437" t="inlineStr">
        <is>
          <t>Poderes especiales de gestión con vigencia determinada</t>
        </is>
      </c>
      <c r="L20" s="437" t="inlineStr">
        <is>
          <t>Poderes notariales limitados a actos concretos y de valor reducido</t>
        </is>
      </c>
      <c r="M20" s="437" t="inlineStr">
        <is>
          <t>Uso de poderes para ocultar beneficiario final.</t>
        </is>
      </c>
      <c r="N20" s="437" t="inlineStr">
        <is>
          <t>Amplio acceso a actos jurídicos sin límite económico.</t>
        </is>
      </c>
      <c r="O20" s="437" t="inlineStr">
        <is>
          <t>Riesgo de facilitar control ilícito de activos.</t>
        </is>
      </c>
    </row>
    <row r="21" ht="42.75" customHeight="1" s="225">
      <c r="B21" s="437" t="n">
        <v>16</v>
      </c>
      <c r="C21" s="437" t="inlineStr">
        <is>
          <t>XII</t>
        </is>
      </c>
      <c r="D21" s="437" t="inlineStr">
        <is>
          <t>NOTARIOS: Const. o modif. patrimonial</t>
        </is>
      </c>
      <c r="E21" s="437" t="inlineStr">
        <is>
          <t>XII - NOTARIOS: Const. o modif. patrimonial</t>
        </is>
      </c>
      <c r="F21" s="438" t="inlineStr">
        <is>
          <t>Siempre</t>
        </is>
      </c>
      <c r="G21" s="438" t="n">
        <v>8025</v>
      </c>
      <c r="H21" s="439">
        <f>IF(ISNUMBER($F21),$F21*PARAMETROS!$C$22,$F21)</f>
        <v/>
      </c>
      <c r="I21" s="439">
        <f>IF(ISNUMBER($G21),$G21*PARAMETROS!$C$22,$G21)</f>
        <v/>
      </c>
      <c r="J21" s="437" t="inlineStr">
        <is>
          <t>Constitución de sociedades patrimoniales con aportaciones significativas</t>
        </is>
      </c>
      <c r="K21" s="437" t="inlineStr">
        <is>
          <t>Modificación parcial de sociedades con capital intermedio</t>
        </is>
      </c>
      <c r="L21" s="437" t="inlineStr">
        <is>
          <t>Ajustes patrimoniales menores y documentados</t>
        </is>
      </c>
      <c r="M21" s="437" t="inlineStr">
        <is>
          <t>Uso de sociedades para canalizar fondos ilícitos.</t>
        </is>
      </c>
      <c r="N21" s="437" t="inlineStr">
        <is>
          <t>Flexibilidad de estructuras societarias.</t>
        </is>
      </c>
      <c r="O21" s="437" t="inlineStr">
        <is>
          <t>Riesgo de sobrevaluación y evasión.</t>
        </is>
      </c>
    </row>
    <row r="22" ht="42.75" customHeight="1" s="225">
      <c r="B22" s="437" t="n">
        <v>17</v>
      </c>
      <c r="C22" s="437" t="inlineStr">
        <is>
          <t>XII</t>
        </is>
      </c>
      <c r="D22" s="437" t="inlineStr">
        <is>
          <t>NOTARIOS: Const. o modif. fideicomisos</t>
        </is>
      </c>
      <c r="E22" s="437" t="inlineStr">
        <is>
          <t>XII - NOTARIOS: Const. o modif. fideicomisos</t>
        </is>
      </c>
      <c r="F22" s="438" t="inlineStr">
        <is>
          <t>Siempre</t>
        </is>
      </c>
      <c r="G22" s="438" t="n">
        <v>4000</v>
      </c>
      <c r="H22" s="439">
        <f>IF(ISNUMBER($F22),$F22*PARAMETROS!$C$22,$F22)</f>
        <v/>
      </c>
      <c r="I22" s="439">
        <f>IF(ISNUMBER($G22),$G22*PARAMETROS!$C$22,$G22)</f>
        <v/>
      </c>
      <c r="J22" s="437" t="inlineStr">
        <is>
          <t>Fideicomisos de inversión de gran valor</t>
        </is>
      </c>
      <c r="K22" s="437" t="inlineStr">
        <is>
          <t>Fideicomisos de inversión o administración con montos intermedios</t>
        </is>
      </c>
      <c r="L22" s="437" t="inlineStr">
        <is>
          <t>Fideicomisos patrimoniales familiares con montos bajos</t>
        </is>
      </c>
      <c r="M22" s="437" t="inlineStr">
        <is>
          <t>Uso de fideicomisos para ocultar recursos ilícitos.</t>
        </is>
      </c>
      <c r="N22" s="437" t="inlineStr">
        <is>
          <t>Complejidad de instrumentos fiduciarios.</t>
        </is>
      </c>
      <c r="O22" s="437" t="inlineStr">
        <is>
          <t>Riesgo de ocultar beneficiarios finales.</t>
        </is>
      </c>
    </row>
    <row r="23" ht="42.75" customHeight="1" s="225">
      <c r="B23" s="437" t="n">
        <v>18</v>
      </c>
      <c r="C23" s="437" t="inlineStr">
        <is>
          <t>XII</t>
        </is>
      </c>
      <c r="D23" s="437" t="inlineStr">
        <is>
          <t>NOTARIOS: Mutuo con no financiero</t>
        </is>
      </c>
      <c r="E23" s="437" t="inlineStr">
        <is>
          <t>XII - NOTARIOS: Mutuo con no financiero</t>
        </is>
      </c>
      <c r="F23" s="438" t="inlineStr">
        <is>
          <t>Siempre</t>
        </is>
      </c>
      <c r="G23" s="438" t="inlineStr">
        <is>
          <t>Siempre</t>
        </is>
      </c>
      <c r="H23" s="439">
        <f>IF(ISNUMBER($F23),$F23*PARAMETROS!$C$22,$F23)</f>
        <v/>
      </c>
      <c r="I23" s="439">
        <f>IF(ISNUMBER($G23),$G23*PARAMETROS!$C$22,$G23)</f>
        <v/>
      </c>
      <c r="J23" s="437" t="inlineStr">
        <is>
          <t>Mutuos de gran monto entre particulares</t>
        </is>
      </c>
      <c r="K23" s="437" t="inlineStr">
        <is>
          <t>Mutuos de valor intermedio</t>
        </is>
      </c>
      <c r="L23" s="437" t="inlineStr">
        <is>
          <t>Mutuos de bajo monto, formalizados y documentados</t>
        </is>
      </c>
      <c r="M23" s="437" t="inlineStr">
        <is>
          <t>Préstamos usados para circular recursos ilícitos.</t>
        </is>
      </c>
      <c r="N23" s="437" t="inlineStr">
        <is>
          <t>Flexibilidad del contrato civil.</t>
        </is>
      </c>
      <c r="O23" s="437" t="inlineStr">
        <is>
          <t>Riesgo de simulación de operaciones.</t>
        </is>
      </c>
    </row>
    <row r="24" ht="32.25" customHeight="1" s="225">
      <c r="B24" s="437" t="n">
        <v>19</v>
      </c>
      <c r="C24" s="437" t="inlineStr">
        <is>
          <t>XII</t>
        </is>
      </c>
      <c r="D24" s="437" t="inlineStr">
        <is>
          <t>CORREDORES: Avalúos</t>
        </is>
      </c>
      <c r="E24" s="437" t="inlineStr">
        <is>
          <t>XII - CORREDORES: Avalúos</t>
        </is>
      </c>
      <c r="F24" s="438" t="n">
        <v>8025</v>
      </c>
      <c r="G24" s="438" t="n">
        <v>8025</v>
      </c>
      <c r="H24" s="439">
        <f>IF(ISNUMBER($F24),$F24*PARAMETROS!$C$22,$F24)</f>
        <v/>
      </c>
      <c r="I24" s="439">
        <f>IF(ISNUMBER($G24),$G24*PARAMETROS!$C$22,$G24)</f>
        <v/>
      </c>
      <c r="J24" s="437" t="inlineStr">
        <is>
          <t>Avalúos de bienes de alto valor</t>
        </is>
      </c>
      <c r="K24" s="437" t="inlineStr">
        <is>
          <t>Avalúos de bienes de valor intermedio</t>
        </is>
      </c>
      <c r="L24" s="437" t="inlineStr">
        <is>
          <t>Avalúos de bienes de bajo valor o de vivienda social</t>
        </is>
      </c>
      <c r="M24" s="437" t="inlineStr">
        <is>
          <t>Uso de avalúos para inflar patrimonio.</t>
        </is>
      </c>
      <c r="N24" s="437" t="inlineStr">
        <is>
          <t>Valoración subjetiva de bienes.</t>
        </is>
      </c>
      <c r="O24" s="437" t="inlineStr">
        <is>
          <t>Riesgo de justificación ilícita de activos.</t>
        </is>
      </c>
    </row>
    <row r="25" ht="42.75" customHeight="1" s="225">
      <c r="B25" s="437" t="n">
        <v>20</v>
      </c>
      <c r="C25" s="437" t="inlineStr">
        <is>
          <t>XII</t>
        </is>
      </c>
      <c r="D25" s="437" t="inlineStr">
        <is>
          <t>CORREDORES: Const. o modif. patrimonial</t>
        </is>
      </c>
      <c r="E25" s="437" t="inlineStr">
        <is>
          <t>XII - CORREDORES: Const. o modif. patrimonial</t>
        </is>
      </c>
      <c r="F25" s="438" t="inlineStr">
        <is>
          <t>Siempre</t>
        </is>
      </c>
      <c r="G25" s="438" t="inlineStr">
        <is>
          <t>Siempre</t>
        </is>
      </c>
      <c r="H25" s="439">
        <f>IF(ISNUMBER($F25),$F25*PARAMETROS!$C$22,$F25)</f>
        <v/>
      </c>
      <c r="I25" s="439">
        <f>IF(ISNUMBER($G25),$G25*PARAMETROS!$C$22,$G25)</f>
        <v/>
      </c>
      <c r="J25" s="437" t="inlineStr">
        <is>
          <t>Constitución de sociedades patrimoniales de alto valor</t>
        </is>
      </c>
      <c r="K25" s="437" t="inlineStr">
        <is>
          <t>Modificaciones societarias de valor intermedio</t>
        </is>
      </c>
      <c r="L25" s="437" t="inlineStr">
        <is>
          <t>Ajustes menores en sociedades pequeñas</t>
        </is>
      </c>
      <c r="M25" s="437" t="inlineStr">
        <is>
          <t>Uso de sociedades mercantiles para blanquear recursos.</t>
        </is>
      </c>
      <c r="N25" s="437" t="inlineStr">
        <is>
          <t>Flexibilidad del marco mercantil.</t>
        </is>
      </c>
      <c r="O25" s="437" t="inlineStr">
        <is>
          <t>Riesgo de opacidad en beneficiarios.</t>
        </is>
      </c>
    </row>
    <row r="26" ht="42.75" customHeight="1" s="225">
      <c r="B26" s="437" t="n">
        <v>21</v>
      </c>
      <c r="C26" s="437" t="inlineStr">
        <is>
          <t>XII</t>
        </is>
      </c>
      <c r="D26" s="437" t="inlineStr">
        <is>
          <t>CORREDORES: Modif. o cesión fideicomiso</t>
        </is>
      </c>
      <c r="E26" s="437" t="inlineStr">
        <is>
          <t>XII - CORREDORES: Modif. o cesión fideicomiso</t>
        </is>
      </c>
      <c r="F26" s="438" t="inlineStr">
        <is>
          <t>Siempre</t>
        </is>
      </c>
      <c r="G26" s="438" t="inlineStr">
        <is>
          <t>Siempre</t>
        </is>
      </c>
      <c r="H26" s="439">
        <f>IF(ISNUMBER($F26),$F26*PARAMETROS!$C$22,$F26)</f>
        <v/>
      </c>
      <c r="I26" s="439">
        <f>IF(ISNUMBER($G26),$G26*PARAMETROS!$C$22,$G26)</f>
        <v/>
      </c>
      <c r="J26" s="437" t="inlineStr">
        <is>
          <t>Cesión de derechos fiduciarios de alto valor</t>
        </is>
      </c>
      <c r="K26" s="437" t="inlineStr">
        <is>
          <t>Cesiones parciales de derechos de valor intermedio</t>
        </is>
      </c>
      <c r="L26" s="437" t="inlineStr">
        <is>
          <t>Cesiones de bajo valor o entre familiares</t>
        </is>
      </c>
      <c r="M26" s="437" t="inlineStr">
        <is>
          <t>Cesión usada para ocultar transferencia ilícita.</t>
        </is>
      </c>
      <c r="N26" s="437" t="inlineStr">
        <is>
          <t>Complejidad fiduciaria.</t>
        </is>
      </c>
      <c r="O26" s="437" t="inlineStr">
        <is>
          <t>Riesgo de lavado mediante cesiones.</t>
        </is>
      </c>
    </row>
    <row r="27" ht="32.25" customHeight="1" s="225">
      <c r="B27" s="437" t="n">
        <v>22</v>
      </c>
      <c r="C27" s="437" t="inlineStr">
        <is>
          <t>XII</t>
        </is>
      </c>
      <c r="D27" s="437" t="inlineStr">
        <is>
          <t>CORREDORES: Mutuo mercantil</t>
        </is>
      </c>
      <c r="E27" s="437" t="inlineStr">
        <is>
          <t>XII - CORREDORES: Mutuo mercantil</t>
        </is>
      </c>
      <c r="F27" s="438" t="inlineStr">
        <is>
          <t>Siempre</t>
        </is>
      </c>
      <c r="G27" s="438" t="inlineStr">
        <is>
          <t>Siempre</t>
        </is>
      </c>
      <c r="H27" s="439">
        <f>IF(ISNUMBER($F27),$F27*PARAMETROS!$C$22,$F27)</f>
        <v/>
      </c>
      <c r="I27" s="439">
        <f>IF(ISNUMBER($G27),$G27*PARAMETROS!$C$22,$G27)</f>
        <v/>
      </c>
      <c r="J27" s="437" t="inlineStr">
        <is>
          <t>Mutuos mercantiles de alto valor</t>
        </is>
      </c>
      <c r="K27" s="437" t="inlineStr">
        <is>
          <t>Mutuos mercantiles de valor intermedio</t>
        </is>
      </c>
      <c r="L27" s="437" t="inlineStr">
        <is>
          <t>Mutuos mercantiles de bajo valor, documentados</t>
        </is>
      </c>
      <c r="M27" s="437" t="inlineStr">
        <is>
          <t>Simulación de préstamos para circular fondos ilícitos.</t>
        </is>
      </c>
      <c r="N27" s="437" t="inlineStr">
        <is>
          <t>Flexibilidad contractual.</t>
        </is>
      </c>
      <c r="O27" s="437" t="inlineStr">
        <is>
          <t>Riesgo de simulación patrimonial.</t>
        </is>
      </c>
    </row>
    <row r="28" ht="42.75" customHeight="1" s="225">
      <c r="B28" s="437" t="n">
        <v>23</v>
      </c>
      <c r="C28" s="437" t="inlineStr">
        <is>
          <t>XII</t>
        </is>
      </c>
      <c r="D28" s="437" t="inlineStr">
        <is>
          <t>FACILITADORES: Solución de controversias</t>
        </is>
      </c>
      <c r="E28" s="437" t="inlineStr">
        <is>
          <t>XII - FACILITADORES: Solución de controversias</t>
        </is>
      </c>
      <c r="F28" s="438" t="inlineStr">
        <is>
          <t>Siempre</t>
        </is>
      </c>
      <c r="G28" s="438" t="n">
        <v>8025</v>
      </c>
      <c r="H28" s="439">
        <f>IF(ISNUMBER($F28),$F28*PARAMETROS!$C$22,$F28)</f>
        <v/>
      </c>
      <c r="I28" s="439">
        <f>IF(ISNUMBER($G28),$G28*PARAMETROS!$C$22,$G28)</f>
        <v/>
      </c>
      <c r="J28" s="437" t="inlineStr">
        <is>
          <t>Soluciones de controversias internacionales de alto valor económico</t>
        </is>
      </c>
      <c r="K28" s="437" t="inlineStr">
        <is>
          <t>Controversias nacionales de valor intermedio</t>
        </is>
      </c>
      <c r="L28" s="437" t="inlineStr">
        <is>
          <t>Controversias de bajo valor económico</t>
        </is>
      </c>
      <c r="M28" s="437" t="inlineStr">
        <is>
          <t>Uso de servicios legales para legitimar flujos.</t>
        </is>
      </c>
      <c r="N28" s="437" t="inlineStr">
        <is>
          <t>Pago de honorarios difícil de trazar.</t>
        </is>
      </c>
      <c r="O28" s="437" t="inlineStr">
        <is>
          <t>Riesgo de corresponsabilidad.</t>
        </is>
      </c>
    </row>
    <row r="29" ht="21.75" customHeight="1" s="225">
      <c r="B29" s="437" t="n">
        <v>24</v>
      </c>
      <c r="C29" s="437" t="inlineStr">
        <is>
          <t>XIII</t>
        </is>
      </c>
      <c r="D29" s="437" t="inlineStr">
        <is>
          <t>Recepción de donativos</t>
        </is>
      </c>
      <c r="E29" s="437" t="inlineStr">
        <is>
          <t>XIII - Recepción de donativos</t>
        </is>
      </c>
      <c r="F29" s="438" t="n">
        <v>1605</v>
      </c>
      <c r="G29" s="438" t="n">
        <v>3210</v>
      </c>
      <c r="H29" s="439">
        <f>IF(ISNUMBER($F29),$F29*PARAMETROS!$C$22,$F29)</f>
        <v/>
      </c>
      <c r="I29" s="439">
        <f>IF(ISNUMBER($G29),$G29*PARAMETROS!$C$22,$G29)</f>
        <v/>
      </c>
      <c r="J29" s="437" t="inlineStr">
        <is>
          <t>Donativos de gran valor económico</t>
        </is>
      </c>
      <c r="K29" s="437" t="inlineStr">
        <is>
          <t>Donativos de valor intermedio</t>
        </is>
      </c>
      <c r="L29" s="437" t="inlineStr">
        <is>
          <t>Donativos de bajo valor, frecuentes en asociaciones pequeñas</t>
        </is>
      </c>
      <c r="M29" s="437" t="inlineStr">
        <is>
          <t>Uso de asociaciones para canalizar fondos ilícitos.</t>
        </is>
      </c>
      <c r="N29" s="437" t="inlineStr">
        <is>
          <t>Flexibilidad en recepción de recursos.</t>
        </is>
      </c>
      <c r="O29" s="437" t="inlineStr">
        <is>
          <t>Riesgo de infiltración criminal.</t>
        </is>
      </c>
    </row>
    <row r="30" ht="42.75" customHeight="1" s="225">
      <c r="B30" s="437" t="n">
        <v>25</v>
      </c>
      <c r="C30" s="437" t="inlineStr">
        <is>
          <t>XIV</t>
        </is>
      </c>
      <c r="D30" s="437" t="inlineStr">
        <is>
          <t>CEXT: Joyas, metales, piedras preciosas</t>
        </is>
      </c>
      <c r="E30" s="437" t="inlineStr">
        <is>
          <t>XIV - CEXT: Joyas, metales, piedras preciosas</t>
        </is>
      </c>
      <c r="F30" s="438" t="n">
        <v>485</v>
      </c>
      <c r="G30" s="438" t="n">
        <v>485</v>
      </c>
      <c r="H30" s="439">
        <f>IF(ISNUMBER($F30),$F30*PARAMETROS!$C$22,$F30)</f>
        <v/>
      </c>
      <c r="I30" s="439">
        <f>IF(ISNUMBER($G30),$G30*PARAMETROS!$C$22,$G30)</f>
        <v/>
      </c>
      <c r="J30" s="437" t="inlineStr">
        <is>
          <t>Transacciones internacionales de alto valor</t>
        </is>
      </c>
      <c r="K30" s="437" t="inlineStr">
        <is>
          <t>Operaciones nacionales de valor intermedio</t>
        </is>
      </c>
      <c r="L30" s="437" t="inlineStr">
        <is>
          <t>Operaciones nacionales de bajo valor con documentación</t>
        </is>
      </c>
      <c r="M30" s="437" t="inlineStr">
        <is>
          <t>Uso de comercio exterior para mover valor ilícito.</t>
        </is>
      </c>
      <c r="N30" s="437" t="inlineStr">
        <is>
          <t>Portabilidad y liquidez.</t>
        </is>
      </c>
      <c r="O30" s="437" t="inlineStr">
        <is>
          <t>Riesgo de contrabando y sanciones.</t>
        </is>
      </c>
    </row>
    <row r="31" ht="21.75" customHeight="1" s="225">
      <c r="B31" s="437" t="n">
        <v>26</v>
      </c>
      <c r="C31" s="437" t="inlineStr">
        <is>
          <t>XIV</t>
        </is>
      </c>
      <c r="D31" s="437" t="inlineStr">
        <is>
          <t>CEXT: Obras de arte</t>
        </is>
      </c>
      <c r="E31" s="437" t="inlineStr">
        <is>
          <t>XIV - CEXT: Obras de arte</t>
        </is>
      </c>
      <c r="F31" s="438" t="n">
        <v>4815</v>
      </c>
      <c r="G31" s="438" t="n">
        <v>4815</v>
      </c>
      <c r="H31" s="439">
        <f>IF(ISNUMBER($F31),$F31*PARAMETROS!$C$22,$F31)</f>
        <v/>
      </c>
      <c r="I31" s="439">
        <f>IF(ISNUMBER($G31),$G31*PARAMETROS!$C$22,$G31)</f>
        <v/>
      </c>
      <c r="J31" s="437" t="inlineStr">
        <is>
          <t>Subastas internacionales de alto valor</t>
        </is>
      </c>
      <c r="K31" s="437" t="inlineStr">
        <is>
          <t>Ventas nacionales de valor intermedio</t>
        </is>
      </c>
      <c r="L31" s="437" t="inlineStr">
        <is>
          <t>Obras de bajo valor con factura</t>
        </is>
      </c>
      <c r="M31" s="437" t="inlineStr">
        <is>
          <t>Uso de arte en comercio exterior para justificar flujos ilícitos.</t>
        </is>
      </c>
      <c r="N31" s="437" t="inlineStr">
        <is>
          <t>Valor subjetivo y mercado opaco.</t>
        </is>
      </c>
      <c r="O31" s="437" t="inlineStr">
        <is>
          <t>Riesgo de sobre/subvaluación.</t>
        </is>
      </c>
    </row>
    <row r="32" ht="42.75" customHeight="1" s="225">
      <c r="B32" s="437" t="n">
        <v>27</v>
      </c>
      <c r="C32" s="437" t="inlineStr">
        <is>
          <t>XIV</t>
        </is>
      </c>
      <c r="D32" s="437" t="inlineStr">
        <is>
          <t>CEXT: Vehículos, máquinas, blindaje, etc.</t>
        </is>
      </c>
      <c r="E32" s="437" t="inlineStr">
        <is>
          <t>XIV - CEXT: Vehículos, máquinas, blindaje, etc.</t>
        </is>
      </c>
      <c r="F32" s="438" t="inlineStr">
        <is>
          <t>Siempre</t>
        </is>
      </c>
      <c r="G32" s="438" t="inlineStr">
        <is>
          <t>Siempre</t>
        </is>
      </c>
      <c r="H32" s="439">
        <f>IF(ISNUMBER($F32),$F32*PARAMETROS!$C$22,$F32)</f>
        <v/>
      </c>
      <c r="I32" s="439">
        <f>IF(ISNUMBER($G32),$G32*PARAMETROS!$C$22,$G32)</f>
        <v/>
      </c>
      <c r="J32" s="437" t="inlineStr">
        <is>
          <t>Importación/exportación de bienes de lujo</t>
        </is>
      </c>
      <c r="K32" s="437" t="inlineStr">
        <is>
          <t>Comercialización de bienes de valor intermedio</t>
        </is>
      </c>
      <c r="L32" s="437" t="inlineStr">
        <is>
          <t>Bienes de uso común con documentación completa</t>
        </is>
      </c>
      <c r="M32" s="437" t="inlineStr">
        <is>
          <t>Comercio exterior usado para estratificación.</t>
        </is>
      </c>
      <c r="N32" s="437" t="inlineStr">
        <is>
          <t>Alto valor de mercancías.</t>
        </is>
      </c>
      <c r="O32" s="437" t="inlineStr">
        <is>
          <t>Riesgo de contrabando.</t>
        </is>
      </c>
    </row>
    <row r="33" ht="53.25" customHeight="1" s="225">
      <c r="B33" s="437" t="n">
        <v>28</v>
      </c>
      <c r="C33" s="437" t="inlineStr">
        <is>
          <t>XV</t>
        </is>
      </c>
      <c r="D33" s="437" t="inlineStr">
        <is>
          <t>Arrendamiento de bienes inmuebles (uso o goce)</t>
        </is>
      </c>
      <c r="E33" s="437" t="inlineStr">
        <is>
          <t>XV - Arrendamiento de bienes inmuebles (uso o goce)</t>
        </is>
      </c>
      <c r="F33" s="438" t="n">
        <v>1605</v>
      </c>
      <c r="G33" s="438" t="n">
        <v>3210</v>
      </c>
      <c r="H33" s="439">
        <f>IF(ISNUMBER($F33),$F33*PARAMETROS!$C$22,$F33)</f>
        <v/>
      </c>
      <c r="I33" s="439">
        <f>IF(ISNUMBER($G33),$G33*PARAMETROS!$C$22,$G33)</f>
        <v/>
      </c>
      <c r="J33" s="437" t="inlineStr">
        <is>
          <t>Arrendamiento de inmuebles de alto valor mensual, pagos en efectivo, arrendatarios de dificil identificacion o giro sensible.</t>
        </is>
      </c>
      <c r="K33" s="437" t="inlineStr">
        <is>
          <t>Arrendamiento de valor intermedio con pagos mixtos (efectivo y transferencia).</t>
        </is>
      </c>
      <c r="L33" s="437" t="inlineStr">
        <is>
          <t>Arrendamiento de bajo valor mensual, contrato formal y pagos trazables.</t>
        </is>
      </c>
      <c r="M33" s="437" t="inlineStr">
        <is>
          <t>Uso del arrendamiento como fachada o para introducir recursos ilicitos.</t>
        </is>
      </c>
      <c r="N33" s="437" t="inlineStr">
        <is>
          <t>Falta de verificacion del giro real del arrendatario y del origen de los pagos.</t>
        </is>
      </c>
      <c r="O33" s="437" t="inlineStr">
        <is>
          <t>Riesgo legal y reputacional; local usado para actividades ilicitas.</t>
        </is>
      </c>
    </row>
    <row r="34" ht="63.75" customHeight="1" s="225">
      <c r="B34" s="437" t="n">
        <v>29</v>
      </c>
      <c r="C34" s="437" t="inlineStr">
        <is>
          <t>XVI</t>
        </is>
      </c>
      <c r="D34" s="437" t="inlineStr">
        <is>
          <t>Activos virtuales (PSAV): operación de intercambio/transferencia</t>
        </is>
      </c>
      <c r="E34" s="437" t="inlineStr">
        <is>
          <t>XVI - Activos virtuales (PSAV): operación de intercambio/transferencia</t>
        </is>
      </c>
      <c r="F34" s="438" t="inlineStr">
        <is>
          <t>Siempre</t>
        </is>
      </c>
      <c r="G34" s="438" t="n">
        <v>210</v>
      </c>
      <c r="H34" s="439">
        <f>IF(ISNUMBER($F34),$F34*PARAMETROS!$C$22,$F34)</f>
        <v/>
      </c>
      <c r="I34" s="439">
        <f>IF(ISNUMBER($G34),$G34*PARAMETROS!$C$22,$G34)</f>
        <v/>
      </c>
      <c r="J34" s="437" t="inlineStr">
        <is>
          <t>Intercambio/transferencia de activos virtuales con clientes no identificados, operaciones transfronterizas, montos elevados o anonimato on-chain.</t>
        </is>
      </c>
      <c r="K34" s="437" t="inlineStr">
        <is>
          <t>Operaciones con identificacion parcial y montos moderados.</t>
        </is>
      </c>
      <c r="L34" s="437" t="inlineStr">
        <is>
          <t>Operaciones con KYC completo, trazabilidad on-chain y montos bajos en MXN.</t>
        </is>
      </c>
      <c r="M34" s="437" t="inlineStr">
        <is>
          <t>Uso de activos virtuales para estratificar u ocultar el origen de recursos.</t>
        </is>
      </c>
      <c r="N34" s="437" t="inlineStr">
        <is>
          <t>Anonimato y dificultad de trazabilidad; operacion transfronteriza.</t>
        </is>
      </c>
      <c r="O34" s="437" t="inlineStr">
        <is>
          <t>Riesgo de LD/FT, sanciones y bloqueo de cuentas; deteccion por UIF.</t>
        </is>
      </c>
    </row>
    <row r="35" ht="74.25" customHeight="1" s="225">
      <c r="B35" s="437" t="n">
        <v>30</v>
      </c>
      <c r="C35" s="437" t="inlineStr">
        <is>
          <t>XVI</t>
        </is>
      </c>
      <c r="D35" s="437" t="inlineStr">
        <is>
          <t>Activos virtuales (PSAV): cobro de contraprestación (comisión) por el servicio</t>
        </is>
      </c>
      <c r="E35" s="437" t="inlineStr">
        <is>
          <t>XVI - Activos virtuales (PSAV): cobro de contraprestación (comisión) por el servicio</t>
        </is>
      </c>
      <c r="F35" s="438" t="inlineStr">
        <is>
          <t>Siempre</t>
        </is>
      </c>
      <c r="G35" s="438" t="n">
        <v>4</v>
      </c>
      <c r="H35" s="439">
        <f>IF(ISNUMBER($F35),$F35*PARAMETROS!$C$22,$F35)</f>
        <v/>
      </c>
      <c r="I35" s="439">
        <f>IF(ISNUMBER($G35),$G35*PARAMETROS!$C$22,$G35)</f>
        <v/>
      </c>
      <c r="J35" s="437" t="inlineStr">
        <is>
          <t>Cobro de comisiones a clientes de alto riesgo o en efectivo, sin trazabilidad del pago.</t>
        </is>
      </c>
      <c r="K35" s="437" t="inlineStr">
        <is>
          <t>Comisiones con pagos mixtos e identificacion parcial.</t>
        </is>
      </c>
      <c r="L35" s="437" t="inlineStr">
        <is>
          <t>Comisiones cobradas por medios trazables con cliente identificado.</t>
        </is>
      </c>
      <c r="M35" s="437" t="inlineStr">
        <is>
          <t>Uso del cobro de comisiones para justificar flujos o fragmentar operaciones.</t>
        </is>
      </c>
      <c r="N35" s="437" t="inlineStr">
        <is>
          <t>Falta de trazabilidad en el cobro y bajo umbral de deteccion (4 UMA).</t>
        </is>
      </c>
      <c r="O35" s="437" t="inlineStr">
        <is>
          <t>Riesgo de simulacion y de omitir operaciones sujetas a aviso.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tabColor rgb="FF808080"/>
    <outlinePr summaryBelow="1" summaryRight="1"/>
    <pageSetUpPr fitToPage="0"/>
  </sheetPr>
  <dimension ref="A2:H755"/>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zeroHeight="0" outlineLevelRow="0"/>
  <cols>
    <col hidden="1" width="30" customWidth="1" style="224" min="1" max="1"/>
    <col width="28" customWidth="1" style="224" min="2" max="2"/>
    <col width="6" customWidth="1" style="224" min="3" max="3"/>
    <col width="30" customWidth="1" style="224" min="4" max="4"/>
    <col width="42" customWidth="1" style="224" min="5" max="7"/>
    <col width="13" customWidth="1" style="224" min="8" max="8"/>
  </cols>
  <sheetData>
    <row r="2" ht="21.75" customHeight="1" s="225">
      <c r="B2" s="255" t="inlineStr">
        <is>
          <t>BASE · 30 actividades × 25 indicadores = 750 perfiles</t>
        </is>
      </c>
    </row>
    <row r="3" ht="15" customHeight="1" s="225">
      <c r="B3" s="440" t="inlineStr">
        <is>
          <t>Referencia: 30 Actividades Vulnerables × 25 indicadores. No se edita.</t>
        </is>
      </c>
    </row>
    <row r="5" ht="15" customHeight="1" s="225">
      <c r="A5" s="231" t="inlineStr">
        <is>
          <t>Clave</t>
        </is>
      </c>
      <c r="B5" s="231" t="inlineStr">
        <is>
          <t>Actividad</t>
        </is>
      </c>
      <c r="C5" s="231" t="inlineStr">
        <is>
          <t>Núm.</t>
        </is>
      </c>
      <c r="D5" s="231" t="inlineStr">
        <is>
          <t>Indicador</t>
        </is>
      </c>
      <c r="E5" s="231" t="inlineStr">
        <is>
          <t>Perfil ALTO</t>
        </is>
      </c>
      <c r="F5" s="231" t="inlineStr">
        <is>
          <t>Perfil MEDIO</t>
        </is>
      </c>
      <c r="G5" s="231" t="inlineStr">
        <is>
          <t>Perfil BAJO</t>
        </is>
      </c>
      <c r="H5" s="441" t="inlineStr">
        <is>
          <t>De dónde sale</t>
        </is>
      </c>
    </row>
    <row r="6" ht="18.75" customHeight="1" s="225">
      <c r="A6" s="264">
        <f>B6&amp;"-"&amp;C6</f>
        <v/>
      </c>
      <c r="B6" s="442" t="inlineStr">
        <is>
          <t>I - Juegos con apuesta</t>
        </is>
      </c>
      <c r="C6" s="443" t="n">
        <v>1</v>
      </c>
      <c r="D6" s="264" t="inlineStr">
        <is>
          <t>Valor unitario de la operación</t>
        </is>
      </c>
      <c r="E6" s="264" t="inlineStr">
        <is>
          <t>La ficha o el saldo de juego tiene un valor unitario muy por encima del ticket promedio de tu operación de doce meses.</t>
        </is>
      </c>
      <c r="F6" s="264" t="inlineStr">
        <is>
          <t>La ficha o el saldo de juego tiene un valor unitario dentro del rango habitual de tu operación.</t>
        </is>
      </c>
      <c r="G6" s="264" t="inlineStr">
        <is>
          <t>La ficha o el saldo de juego tiene un valor unitario por debajo de tu ticket promedio.</t>
        </is>
      </c>
      <c r="H6" s="444" t="inlineStr">
        <is>
          <t>calculado</t>
        </is>
      </c>
    </row>
    <row r="7" ht="18.75" customHeight="1" s="225">
      <c r="A7" s="264">
        <f>B7&amp;"-"&amp;C7</f>
        <v/>
      </c>
      <c r="B7" s="442" t="inlineStr">
        <is>
          <t>I - Juegos con apuesta</t>
        </is>
      </c>
      <c r="C7" s="443" t="n">
        <v>2</v>
      </c>
      <c r="D7" s="264" t="inlineStr">
        <is>
          <t>Liquidez: facilidad de convertir en dinero</t>
        </is>
      </c>
      <c r="E7" s="264" t="inlineStr">
        <is>
          <t>La ficha o el saldo de juego puede revenderse o cederse de inmediato y prácticamente a su valor íntegro.</t>
        </is>
      </c>
      <c r="F7" s="264" t="inlineStr">
        <is>
          <t>La ficha o el saldo de juego puede revenderse, pero con trámite, plazo o pérdida de valor apreciable.</t>
        </is>
      </c>
      <c r="G7" s="264" t="inlineStr">
        <is>
          <t>La ficha o el saldo de juego es difícil de revender: exige formalidades o registro, o pierde valor de forma significativa.</t>
        </is>
      </c>
      <c r="H7" s="444" t="inlineStr">
        <is>
          <t>bandera</t>
        </is>
      </c>
    </row>
    <row r="8" ht="18.75" customHeight="1" s="225">
      <c r="A8" s="264">
        <f>B8&amp;"-"&amp;C8</f>
        <v/>
      </c>
      <c r="B8" s="442" t="inlineStr">
        <is>
          <t>I - Juegos con apuesta</t>
        </is>
      </c>
      <c r="C8" s="443" t="n">
        <v>3</v>
      </c>
      <c r="D8" s="264" t="inlineStr">
        <is>
          <t>Anonimato: si el beneficiario queda a la vista</t>
        </is>
      </c>
      <c r="E8" s="264" t="inlineStr">
        <is>
          <t>La compra o el cobro de fichas admite que quien aparece no sea quien recibe el beneficio, sin que quede registro de quién es el beneficiario final.</t>
        </is>
      </c>
      <c r="F8" s="264" t="inlineStr">
        <is>
          <t>Se identifica a el jugador, pero el beneficiario final se declara sin documento que lo respalde.</t>
        </is>
      </c>
      <c r="G8" s="264" t="inlineStr">
        <is>
          <t>El jugador y el beneficiario final coinciden, y ambos constan en el expediente.</t>
        </is>
      </c>
      <c r="H8" s="444" t="inlineStr">
        <is>
          <t>bandera</t>
        </is>
      </c>
    </row>
    <row r="9" ht="18.75" customHeight="1" s="225">
      <c r="A9" s="264">
        <f>B9&amp;"-"&amp;C9</f>
        <v/>
      </c>
      <c r="B9" s="442" t="inlineStr">
        <is>
          <t>I - Juegos con apuesta</t>
        </is>
      </c>
      <c r="C9" s="443" t="n">
        <v>4</v>
      </c>
      <c r="D9" s="264" t="inlineStr">
        <is>
          <t>Ocultamiento de valor en el precio</t>
        </is>
      </c>
      <c r="E9" s="264" t="inlineStr">
        <is>
          <t>La compra o el cobro de fichas admite sobrevaluar, subvaluar o fraccionar el precio sin que la contabilidad lo refleje.</t>
        </is>
      </c>
      <c r="F9" s="264" t="inlineStr">
        <is>
          <t>El precio se aparta del valor de referencia, pero existe explicación documentada de la diferencia.</t>
        </is>
      </c>
      <c r="G9" s="264" t="inlineStr">
        <is>
          <t>El precio corresponde al valor de referencia y queda registrado en la contabilidad.</t>
        </is>
      </c>
      <c r="H9" s="444" t="inlineStr">
        <is>
          <t>bandera</t>
        </is>
      </c>
    </row>
    <row r="10" ht="18.75" customHeight="1" s="225">
      <c r="A10" s="264">
        <f>B10&amp;"-"&amp;C10</f>
        <v/>
      </c>
      <c r="B10" s="442" t="inlineStr">
        <is>
          <t>I - Juegos con apuesta</t>
        </is>
      </c>
      <c r="C10" s="443" t="n">
        <v>5</v>
      </c>
      <c r="D10" s="264" t="inlineStr">
        <is>
          <t>Exposición a personas señaladas por terrorismo</t>
        </is>
      </c>
      <c r="E10" s="264" t="inlineStr">
        <is>
          <t>El jugador, su beneficiario o su contraparte aparece en listas de sanciones o de organizaciones terroristas.</t>
        </is>
      </c>
      <c r="F10" s="264" t="inlineStr">
        <is>
          <t>Existe un vínculo indirecto —contraparte, domicilio o ruta de los fondos— con una jurisdicción en conflicto o de acción requerida.</t>
        </is>
      </c>
      <c r="G10" s="264" t="inlineStr">
        <is>
          <t>Sin coincidencias ni vínculos con esas listas ni con jurisdicciones en conflicto, con búsqueda documentada.</t>
        </is>
      </c>
      <c r="H10" s="444" t="inlineStr">
        <is>
          <t>campo</t>
        </is>
      </c>
    </row>
    <row r="11" ht="18.75" customHeight="1" s="225">
      <c r="A11" s="264">
        <f>B11&amp;"-"&amp;C11</f>
        <v/>
      </c>
      <c r="B11" s="442" t="inlineStr">
        <is>
          <t>I - Juegos con apuesta</t>
        </is>
      </c>
      <c r="C11" s="443" t="n">
        <v>6</v>
      </c>
      <c r="D11" s="264" t="inlineStr">
        <is>
          <t>Tipo de persona</t>
        </is>
      </c>
      <c r="E11" s="264" t="inlineStr">
        <is>
          <t>El jugador es un fideicomiso u otro vehículo sin personalidad jurídica propia. No hay un titular único: la figura permite que quien apuesta y quien cobra el premio sean personas distintas y que ninguna aparezca en el contrato.</t>
        </is>
      </c>
      <c r="F11" s="264" t="inlineStr">
        <is>
          <t>El jugador es persona moral. La voluntad se forma en órganos y la propiedad está en socios, así que hay que llegar al Beneficiario Controlador para saber quién está realmente detrás.</t>
        </is>
      </c>
      <c r="G11" s="264" t="inlineStr">
        <is>
          <t>El jugador es persona física. Coincide quien apuesta y quien cobra el premio, y la identificación es directa contra un solo expediente.</t>
        </is>
      </c>
      <c r="H11" s="444" t="inlineStr">
        <is>
          <t>campo</t>
        </is>
      </c>
    </row>
    <row r="12" ht="18.75" customHeight="1" s="225">
      <c r="A12" s="264">
        <f>B12&amp;"-"&amp;C12</f>
        <v/>
      </c>
      <c r="B12" s="442" t="inlineStr">
        <is>
          <t>I - Juegos con apuesta</t>
        </is>
      </c>
      <c r="C12" s="443" t="n">
        <v>7</v>
      </c>
      <c r="D12" s="264" t="inlineStr">
        <is>
          <t>Antigüedad del Cliente</t>
        </is>
      </c>
      <c r="E12" s="264" t="inlineStr">
        <is>
          <t>Persona moral constituida hace menos de dos años, o persona física menor de veintitrés años.</t>
        </is>
      </c>
      <c r="F12" s="264" t="inlineStr">
        <is>
          <t>Persona moral constituida hace entre dos y cinco años.</t>
        </is>
      </c>
      <c r="G12" s="264" t="inlineStr">
        <is>
          <t>Persona moral con más de cinco años de constituida, o persona física de veintitrés años en adelante.</t>
        </is>
      </c>
      <c r="H12" s="444" t="inlineStr">
        <is>
          <t>campo</t>
        </is>
      </c>
    </row>
    <row r="13" ht="18.75" customHeight="1" s="225">
      <c r="A13" s="264">
        <f>B13&amp;"-"&amp;C13</f>
        <v/>
      </c>
      <c r="B13" s="442" t="inlineStr">
        <is>
          <t>I - Juegos con apuesta</t>
        </is>
      </c>
      <c r="C13" s="443" t="n">
        <v>8</v>
      </c>
      <c r="D13" s="264" t="inlineStr">
        <is>
          <t>Giro o actividad declarada</t>
        </is>
      </c>
      <c r="E13" s="264" t="inlineStr">
        <is>
          <t>El giro que declara el jugador es a su vez una Actividad Vulnerable del artículo 17, o no se acredita con documento alguno.</t>
        </is>
      </c>
      <c r="F13" s="264" t="inlineStr">
        <is>
          <t>El giro se declara y se acredita sólo de forma parcial.</t>
        </is>
      </c>
      <c r="G13" s="264" t="inlineStr">
        <is>
          <t>El giro se acredita con documento: constancia de situación fiscal, acta constitutiva o comprobante de empleo.</t>
        </is>
      </c>
      <c r="H13" s="444" t="inlineStr">
        <is>
          <t>campo</t>
        </is>
      </c>
    </row>
    <row r="14" ht="18.75" customHeight="1" s="225">
      <c r="A14" s="264">
        <f>B14&amp;"-"&amp;C14</f>
        <v/>
      </c>
      <c r="B14" s="442" t="inlineStr">
        <is>
          <t>I - Juegos con apuesta</t>
        </is>
      </c>
      <c r="C14" s="443" t="n">
        <v>9</v>
      </c>
      <c r="D14" s="264" t="inlineStr">
        <is>
          <t>Nacionalidad</t>
        </is>
      </c>
      <c r="E14" s="264" t="inlineStr">
        <is>
          <t>Nacionalidad de país o jurisdicción señalada por la UIF, o no determinada.</t>
        </is>
      </c>
      <c r="F14" s="264" t="inlineStr">
        <is>
          <t>Nacionalidad extranjera de país sin señalamiento.</t>
        </is>
      </c>
      <c r="G14" s="264" t="inlineStr">
        <is>
          <t>Nacionalidad mexicana.</t>
        </is>
      </c>
      <c r="H14" s="444" t="inlineStr">
        <is>
          <t>campo</t>
        </is>
      </c>
    </row>
    <row r="15" ht="18.75" customHeight="1" s="225">
      <c r="A15" s="264">
        <f>B15&amp;"-"&amp;C15</f>
        <v/>
      </c>
      <c r="B15" s="442" t="inlineStr">
        <is>
          <t>I - Juegos con apuesta</t>
        </is>
      </c>
      <c r="C15" s="443" t="n">
        <v>10</v>
      </c>
      <c r="D15" s="264" t="inlineStr">
        <is>
          <t>País y entidad de residencia</t>
        </is>
      </c>
      <c r="E15" s="264" t="inlineStr">
        <is>
          <t>Residencia en jurisdicción de régimen fiscal preferente o señalada por deficiencias, o domicilio no verificable.</t>
        </is>
      </c>
      <c r="F15" s="264" t="inlineStr">
        <is>
          <t>Residencia en el extranjero sin señalamiento, o en entidad federativa señalada en la ENR.</t>
        </is>
      </c>
      <c r="G15" s="264" t="inlineStr">
        <is>
          <t>Residencia en México, en entidad federativa sin señalamiento en la ENR.</t>
        </is>
      </c>
      <c r="H15" s="444" t="inlineStr">
        <is>
          <t>campo</t>
        </is>
      </c>
    </row>
    <row r="16" ht="18.75" customHeight="1" s="225">
      <c r="A16" s="264">
        <f>B16&amp;"-"&amp;C16</f>
        <v/>
      </c>
      <c r="B16" s="442" t="inlineStr">
        <is>
          <t>I - Juegos con apuesta</t>
        </is>
      </c>
      <c r="C16" s="443" t="n">
        <v>11</v>
      </c>
      <c r="D16" s="264" t="inlineStr">
        <is>
          <t>Condición de Persona Políticamente Expuesta</t>
        </is>
      </c>
      <c r="E16" s="264" t="inlineStr">
        <is>
          <t>Persona Políticamente Expuesta extranjera, o nacional cuyo comportamiento transaccional no corresponde con sus ingresos y funciones.</t>
        </is>
      </c>
      <c r="F16" s="264" t="inlineStr">
        <is>
          <t>Persona Políticamente Expuesta nacional con comportamiento congruente, o familiar o allegado de una.</t>
        </is>
      </c>
      <c r="G16" s="264" t="inlineStr">
        <is>
          <t>Sin condición de Persona Políticamente Expuesta, con búsqueda documentada.</t>
        </is>
      </c>
      <c r="H16" s="444" t="inlineStr">
        <is>
          <t>campo</t>
        </is>
      </c>
    </row>
    <row r="17" ht="18.75" customHeight="1" s="225">
      <c r="A17" s="264">
        <f>B17&amp;"-"&amp;C17</f>
        <v/>
      </c>
      <c r="B17" s="442" t="inlineStr">
        <is>
          <t>I - Juegos con apuesta</t>
        </is>
      </c>
      <c r="C17" s="443" t="n">
        <v>12</v>
      </c>
      <c r="D17" s="264" t="inlineStr">
        <is>
          <t>Resultado de la búsqueda en listas</t>
        </is>
      </c>
      <c r="E17" s="264" t="inlineStr">
        <is>
          <t>Coincidencia positiva en listas de personas bloqueadas o de sanciones, o búsqueda no realizada o sin constancia.</t>
        </is>
      </c>
      <c r="F17" s="264" t="inlineStr">
        <is>
          <t>Coincidencia descartada por homonimia acreditada, con constancia.</t>
        </is>
      </c>
      <c r="G17" s="264" t="inlineStr">
        <is>
          <t>Sin coincidencia, con constancia de la búsqueda y su fecha.</t>
        </is>
      </c>
      <c r="H17" s="444" t="inlineStr">
        <is>
          <t>campo</t>
        </is>
      </c>
    </row>
    <row r="18" ht="18.75" customHeight="1" s="225">
      <c r="A18" s="264">
        <f>B18&amp;"-"&amp;C18</f>
        <v/>
      </c>
      <c r="B18" s="442" t="inlineStr">
        <is>
          <t>I - Juegos con apuesta</t>
        </is>
      </c>
      <c r="C18" s="443" t="n">
        <v>13</v>
      </c>
      <c r="D18" s="264" t="inlineStr">
        <is>
          <t>Profundidad de la cadena de control</t>
        </is>
      </c>
      <c r="E18" s="264" t="inlineStr">
        <is>
          <t>No se logra identificar al Beneficiario Controlador de el jugador, o la cadena no es acreditable.</t>
        </is>
      </c>
      <c r="F18" s="264" t="inlineStr">
        <is>
          <t>El Beneficiario Controlador se identifica atravesando dos o más niveles societarios o fiduciarios.</t>
        </is>
      </c>
      <c r="G18" s="264" t="inlineStr">
        <is>
          <t>El Beneficiario Controlador se identifica en un solo nivel, o el jugador es su propio beneficiario.</t>
        </is>
      </c>
      <c r="H18" s="444" t="inlineStr">
        <is>
          <t>calculado</t>
        </is>
      </c>
    </row>
    <row r="19" ht="18.75" customHeight="1" s="225">
      <c r="A19" s="264">
        <f>B19&amp;"-"&amp;C19</f>
        <v/>
      </c>
      <c r="B19" s="442" t="inlineStr">
        <is>
          <t>I - Juegos con apuesta</t>
        </is>
      </c>
      <c r="C19" s="443" t="n">
        <v>14</v>
      </c>
      <c r="D19" s="264" t="inlineStr">
        <is>
          <t>País donde se realiza la operación</t>
        </is>
      </c>
      <c r="E19" s="264" t="inlineStr">
        <is>
          <t>La compra o el cobro de fichas se pacta con o desde una jurisdicción de alto riesgo o no cooperante.</t>
        </is>
      </c>
      <c r="F19" s="264" t="inlineStr">
        <is>
          <t>La compra o el cobro de fichas se pacta con una jurisdicción extranjera sin señalamiento.</t>
        </is>
      </c>
      <c r="G19" s="264" t="inlineStr">
        <is>
          <t>La compra o el cobro de fichas se realiza íntegramente en México.</t>
        </is>
      </c>
      <c r="H19" s="444" t="inlineStr">
        <is>
          <t>campo</t>
        </is>
      </c>
    </row>
    <row r="20" ht="18.75" customHeight="1" s="225">
      <c r="A20" s="264">
        <f>B20&amp;"-"&amp;C20</f>
        <v/>
      </c>
      <c r="B20" s="442" t="inlineStr">
        <is>
          <t>I - Juegos con apuesta</t>
        </is>
      </c>
      <c r="C20" s="443" t="n">
        <v>15</v>
      </c>
      <c r="D20" s="264" t="inlineStr">
        <is>
          <t>Entidad o municipio de la operación</t>
        </is>
      </c>
      <c r="E20" s="264" t="inlineStr">
        <is>
          <t>La compra o el cobro de fichas ocurre en un municipio o zona identificada de alto riesgo.</t>
        </is>
      </c>
      <c r="F20" s="264" t="inlineStr">
        <is>
          <t>La compra o el cobro de fichas ocurre en una entidad federativa con señalamiento en la ENR.</t>
        </is>
      </c>
      <c r="G20" s="264" t="inlineStr">
        <is>
          <t>La compra o el cobro de fichas ocurre en una entidad federativa sin señalamiento en la ENR.</t>
        </is>
      </c>
      <c r="H20" s="444" t="inlineStr">
        <is>
          <t>campo</t>
        </is>
      </c>
    </row>
    <row r="21" ht="18.75" customHeight="1" s="225">
      <c r="A21" s="264">
        <f>B21&amp;"-"&amp;C21</f>
        <v/>
      </c>
      <c r="B21" s="442" t="inlineStr">
        <is>
          <t>I - Juegos con apuesta</t>
        </is>
      </c>
      <c r="C21" s="443" t="n">
        <v>16</v>
      </c>
      <c r="D21" s="264" t="inlineStr">
        <is>
          <t>Vínculo con jurisdicción sancionada o de acción requerida</t>
        </is>
      </c>
      <c r="E21" s="264" t="inlineStr">
        <is>
          <t>Hay exposición directa a una jurisdicción sancionada, en conflicto armado o de acción requerida del GAFI.</t>
        </is>
      </c>
      <c r="F21" s="264" t="inlineStr">
        <is>
          <t>La exposición es indirecta: una contraparte o la ruta de los fondos toca esa jurisdicción.</t>
        </is>
      </c>
      <c r="G21" s="264" t="inlineStr">
        <is>
          <t>Sin exposición a jurisdicciones sancionadas, en conflicto ni de acción requerida.</t>
        </is>
      </c>
      <c r="H21" s="444" t="inlineStr">
        <is>
          <t>campo</t>
        </is>
      </c>
    </row>
    <row r="22" ht="18.75" customHeight="1" s="225">
      <c r="A22" s="264">
        <f>B22&amp;"-"&amp;C22</f>
        <v/>
      </c>
      <c r="B22" s="442" t="inlineStr">
        <is>
          <t>I - Juegos con apuesta</t>
        </is>
      </c>
      <c r="C22" s="443" t="n">
        <v>17</v>
      </c>
      <c r="D22" s="264" t="inlineStr">
        <is>
          <t>Coincidencia entre domicilio y lugar de la operación</t>
        </is>
      </c>
      <c r="E22" s="264" t="inlineStr">
        <is>
          <t>El domicilio de el jugador y el lugar de la compra o el cobro de fichas no coinciden, y no hay explicación documentada.</t>
        </is>
      </c>
      <c r="F22" s="264" t="inlineStr">
        <is>
          <t>No coinciden, pero consta por escrito la razón de operar en ese lugar.</t>
        </is>
      </c>
      <c r="G22" s="264" t="inlineStr">
        <is>
          <t>El domicilio de el jugador y el lugar de la compra o el cobro de fichas coinciden.</t>
        </is>
      </c>
      <c r="H22" s="444" t="inlineStr">
        <is>
          <t>calculado</t>
        </is>
      </c>
    </row>
    <row r="23" ht="18.75" customHeight="1" s="225">
      <c r="A23" s="264">
        <f>B23&amp;"-"&amp;C23</f>
        <v/>
      </c>
      <c r="B23" s="442" t="inlineStr">
        <is>
          <t>I - Juegos con apuesta</t>
        </is>
      </c>
      <c r="C23" s="443" t="n">
        <v>18</v>
      </c>
      <c r="D23" s="264" t="inlineStr">
        <is>
          <t>Instrumento con que se paga</t>
        </is>
      </c>
      <c r="E23" s="264" t="inlineStr">
        <is>
          <t>Efectivo por encima de tu umbral interno, instrumento al portador, o pago en especie.</t>
        </is>
      </c>
      <c r="F23" s="264" t="inlineStr">
        <is>
          <t>Pago mixto, con un componente en efectivo por debajo de tu umbral interno.</t>
        </is>
      </c>
      <c r="G23" s="264" t="inlineStr">
        <is>
          <t>Transferencia electrónica o cheque nominativo desde una cuenta a nombre de el jugador.</t>
        </is>
      </c>
      <c r="H23" s="444" t="inlineStr">
        <is>
          <t>campo</t>
        </is>
      </c>
    </row>
    <row r="24" ht="18.75" customHeight="1" s="225">
      <c r="A24" s="264">
        <f>B24&amp;"-"&amp;C24</f>
        <v/>
      </c>
      <c r="B24" s="442" t="inlineStr">
        <is>
          <t>I - Juegos con apuesta</t>
        </is>
      </c>
      <c r="C24" s="443" t="n">
        <v>19</v>
      </c>
      <c r="D24" s="264" t="inlineStr">
        <is>
          <t>Moneda de la operación</t>
        </is>
      </c>
      <c r="E24" s="264" t="inlineStr">
        <is>
          <t>Divisa distinta del dólar estadounidense y del euro, o activo virtual.</t>
        </is>
      </c>
      <c r="F24" s="264" t="inlineStr">
        <is>
          <t>Dólar estadounidense o euro, con soporte documental.</t>
        </is>
      </c>
      <c r="G24" s="264" t="inlineStr">
        <is>
          <t>Peso mexicano.</t>
        </is>
      </c>
      <c r="H24" s="444" t="inlineStr">
        <is>
          <t>campo</t>
        </is>
      </c>
    </row>
    <row r="25" ht="18.75" customHeight="1" s="225">
      <c r="A25" s="264">
        <f>B25&amp;"-"&amp;C25</f>
        <v/>
      </c>
      <c r="B25" s="442" t="inlineStr">
        <is>
          <t>I - Juegos con apuesta</t>
        </is>
      </c>
      <c r="C25" s="443" t="n">
        <v>20</v>
      </c>
      <c r="D25" s="264" t="inlineStr">
        <is>
          <t>Monto frente al umbral de tu fracción</t>
        </is>
      </c>
      <c r="E25" s="264" t="inlineStr">
        <is>
          <t>La compra o el cobro de fichas iguala o supera el umbral de Aviso de tu fracción del artículo 17.</t>
        </is>
      </c>
      <c r="F25" s="264" t="inlineStr">
        <is>
          <t>La compra o el cobro de fichas se sitúa entre el umbral de identificación y el de Aviso.</t>
        </is>
      </c>
      <c r="G25" s="264" t="inlineStr">
        <is>
          <t>La compra o el cobro de fichas queda por debajo del umbral de identificación.</t>
        </is>
      </c>
      <c r="H25" s="444" t="inlineStr">
        <is>
          <t>calculado</t>
        </is>
      </c>
    </row>
    <row r="26" ht="18.75" customHeight="1" s="225">
      <c r="A26" s="264">
        <f>B26&amp;"-"&amp;C26</f>
        <v/>
      </c>
      <c r="B26" s="442" t="inlineStr">
        <is>
          <t>I - Juegos con apuesta</t>
        </is>
      </c>
      <c r="C26" s="443" t="n">
        <v>21</v>
      </c>
      <c r="D26" s="264" t="inlineStr">
        <is>
          <t>Número y ritmo de operaciones en el periodo</t>
        </is>
      </c>
      <c r="E26" s="264" t="inlineStr">
        <is>
          <t>El jugador realiza cinco o más operaciones al año, o varias en intervalos cortos y regulares.</t>
        </is>
      </c>
      <c r="F26" s="264" t="inlineStr">
        <is>
          <t>El jugador realiza entre dos y cuatro operaciones al año.</t>
        </is>
      </c>
      <c r="G26" s="264" t="inlineStr">
        <is>
          <t>El jugador realiza una sola operación en el periodo.</t>
        </is>
      </c>
      <c r="H26" s="444" t="inlineStr">
        <is>
          <t>calculado</t>
        </is>
      </c>
    </row>
    <row r="27" ht="18.75" customHeight="1" s="225">
      <c r="A27" s="264">
        <f>B27&amp;"-"&amp;C27</f>
        <v/>
      </c>
      <c r="B27" s="442" t="inlineStr">
        <is>
          <t>I - Juegos con apuesta</t>
        </is>
      </c>
      <c r="C27" s="443" t="n">
        <v>22</v>
      </c>
      <c r="D27" s="264" t="inlineStr">
        <is>
          <t>Canal: certeza de identificación del Cliente</t>
        </is>
      </c>
      <c r="E27" s="264" t="inlineStr">
        <is>
          <t>La operación llega por un gestor, plataforma o intermediario no acreditado: nadie responde por la identificación de el jugador, y quien opera puede no ser quien dice ser.</t>
        </is>
      </c>
      <c r="F27" s="264" t="inlineStr">
        <is>
          <t>Se identifica a el jugador de forma remota con verificación documental, o a través de un promotor o representante propio con contrato y responsable señalado.</t>
        </is>
      </c>
      <c r="G27" s="264" t="inlineStr">
        <is>
          <t>El jugador comparece de forma directa, o se le identifica en remoto con biometría y prueba de vida.</t>
        </is>
      </c>
      <c r="H27" s="444" t="inlineStr">
        <is>
          <t>campo</t>
        </is>
      </c>
    </row>
    <row r="28" ht="18.75" customHeight="1" s="225">
      <c r="A28" s="264">
        <f>B28&amp;"-"&amp;C28</f>
        <v/>
      </c>
      <c r="B28" s="442" t="inlineStr">
        <is>
          <t>I - Juegos con apuesta</t>
        </is>
      </c>
      <c r="C28" s="443" t="n">
        <v>23</v>
      </c>
      <c r="D28" s="264" t="inlineStr">
        <is>
          <t>Acreditación del origen de los recursos</t>
        </is>
      </c>
      <c r="E28" s="264" t="inlineStr">
        <is>
          <t>El origen de los recursos se declara sin soporte documental, o no se manifiesta.</t>
        </is>
      </c>
      <c r="F28" s="264" t="inlineStr">
        <is>
          <t>El origen se declara y se acredita sólo de forma parcial.</t>
        </is>
      </c>
      <c r="G28" s="264" t="inlineStr">
        <is>
          <t>El origen se acredita con documentación verificable.</t>
        </is>
      </c>
      <c r="H28" s="444" t="inlineStr">
        <is>
          <t>bandera</t>
        </is>
      </c>
    </row>
    <row r="29" ht="18.75" customHeight="1" s="225">
      <c r="A29" s="264">
        <f>B29&amp;"-"&amp;C29</f>
        <v/>
      </c>
      <c r="B29" s="442" t="inlineStr">
        <is>
          <t>I - Juegos con apuesta</t>
        </is>
      </c>
      <c r="C29" s="443" t="n">
        <v>24</v>
      </c>
      <c r="D29" s="264" t="inlineStr">
        <is>
          <t>Acreditación del destino de los recursos o del bien</t>
        </is>
      </c>
      <c r="E29" s="264" t="inlineStr">
        <is>
          <t>El destino no se manifiesta, o los recursos o la ficha o el saldo de juego pasan a un tercero no relacionado con el jugador.</t>
        </is>
      </c>
      <c r="F29" s="264" t="inlineStr">
        <is>
          <t>El destino se declara y es verificable.</t>
        </is>
      </c>
      <c r="G29" s="264" t="inlineStr">
        <is>
          <t>El destino es la ficha o el saldo de juego mismo, y queda registrado en la operación.</t>
        </is>
      </c>
      <c r="H29" s="444" t="inlineStr">
        <is>
          <t>bandera</t>
        </is>
      </c>
    </row>
    <row r="30" ht="18.75" customHeight="1" s="225">
      <c r="A30" s="264">
        <f>B30&amp;"-"&amp;C30</f>
        <v/>
      </c>
      <c r="B30" s="442" t="inlineStr">
        <is>
          <t>I - Juegos con apuesta</t>
        </is>
      </c>
      <c r="C30" s="443" t="n">
        <v>25</v>
      </c>
      <c r="D30" s="264" t="inlineStr">
        <is>
          <t>Combinación de canal e instrumento idónea para el financiamiento al terrorismo</t>
        </is>
      </c>
      <c r="E30" s="264" t="inlineStr">
        <is>
          <t>La compra o el cobro de fichas combina contratación a distancia sin verificación reforzada con pagos en efectivo o instrumentos al portador.</t>
        </is>
      </c>
      <c r="F30" s="264" t="inlineStr">
        <is>
          <t>Concurre uno solo de los dos: o la contratación remota sin verificación reforzada, o el pago en instrumento no bancarizado.</t>
        </is>
      </c>
      <c r="G30" s="264" t="inlineStr">
        <is>
          <t>Ni la forma de contratar ni la de pagar permiten mover valor de forma anónima.</t>
        </is>
      </c>
      <c r="H30" s="444" t="inlineStr">
        <is>
          <t>bandera</t>
        </is>
      </c>
    </row>
    <row r="31" ht="18.75" customHeight="1" s="225">
      <c r="A31" s="264">
        <f>B31&amp;"-"&amp;C31</f>
        <v/>
      </c>
      <c r="B31" s="442" t="inlineStr">
        <is>
          <t>II - Tarjetas de crédito o servicios</t>
        </is>
      </c>
      <c r="C31" s="443" t="n">
        <v>1</v>
      </c>
      <c r="D31" s="264" t="inlineStr">
        <is>
          <t>Valor unitario de la operación</t>
        </is>
      </c>
      <c r="E31" s="264" t="inlineStr">
        <is>
          <t>La línea o el servicio contratado tiene un valor unitario muy por encima del ticket promedio de tu operación de doce meses.</t>
        </is>
      </c>
      <c r="F31" s="264" t="inlineStr">
        <is>
          <t>La línea o el servicio contratado tiene un valor unitario dentro del rango habitual de tu operación.</t>
        </is>
      </c>
      <c r="G31" s="264" t="inlineStr">
        <is>
          <t>La línea o el servicio contratado tiene un valor unitario por debajo de tu ticket promedio.</t>
        </is>
      </c>
      <c r="H31" s="444" t="inlineStr">
        <is>
          <t>calculado</t>
        </is>
      </c>
    </row>
    <row r="32" ht="18.75" customHeight="1" s="225">
      <c r="A32" s="264">
        <f>B32&amp;"-"&amp;C32</f>
        <v/>
      </c>
      <c r="B32" s="442" t="inlineStr">
        <is>
          <t>II - Tarjetas de crédito o servicios</t>
        </is>
      </c>
      <c r="C32" s="443" t="n">
        <v>2</v>
      </c>
      <c r="D32" s="264" t="inlineStr">
        <is>
          <t>Liquidez: facilidad de convertir en dinero</t>
        </is>
      </c>
      <c r="E32" s="264" t="inlineStr">
        <is>
          <t>La línea o el servicio contratado puede revenderse o cederse de inmediato y prácticamente a su valor íntegro.</t>
        </is>
      </c>
      <c r="F32" s="264" t="inlineStr">
        <is>
          <t>La línea o el servicio contratado puede revenderse, pero con trámite, plazo o pérdida de valor apreciable.</t>
        </is>
      </c>
      <c r="G32" s="264" t="inlineStr">
        <is>
          <t>La línea o el servicio contratado es difícil de revender: exige formalidades o registro, o pierde valor de forma significativa.</t>
        </is>
      </c>
      <c r="H32" s="444" t="inlineStr">
        <is>
          <t>bandera</t>
        </is>
      </c>
    </row>
    <row r="33" ht="18.75" customHeight="1" s="225">
      <c r="A33" s="264">
        <f>B33&amp;"-"&amp;C33</f>
        <v/>
      </c>
      <c r="B33" s="442" t="inlineStr">
        <is>
          <t>II - Tarjetas de crédito o servicios</t>
        </is>
      </c>
      <c r="C33" s="443" t="n">
        <v>3</v>
      </c>
      <c r="D33" s="264" t="inlineStr">
        <is>
          <t>Anonimato: si el beneficiario queda a la vista</t>
        </is>
      </c>
      <c r="E33" s="264" t="inlineStr">
        <is>
          <t>La disposición de la línea admite que quien aparece no sea quien recibe el beneficio, sin que quede registro de quién es el beneficiario final.</t>
        </is>
      </c>
      <c r="F33" s="264" t="inlineStr">
        <is>
          <t>Se identifica a el titular, pero el beneficiario final se declara sin documento que lo respalde.</t>
        </is>
      </c>
      <c r="G33" s="264" t="inlineStr">
        <is>
          <t>El titular y el beneficiario final coinciden, y ambos constan en el expediente.</t>
        </is>
      </c>
      <c r="H33" s="444" t="inlineStr">
        <is>
          <t>bandera</t>
        </is>
      </c>
    </row>
    <row r="34" ht="18.75" customHeight="1" s="225">
      <c r="A34" s="264">
        <f>B34&amp;"-"&amp;C34</f>
        <v/>
      </c>
      <c r="B34" s="442" t="inlineStr">
        <is>
          <t>II - Tarjetas de crédito o servicios</t>
        </is>
      </c>
      <c r="C34" s="443" t="n">
        <v>4</v>
      </c>
      <c r="D34" s="264" t="inlineStr">
        <is>
          <t>Ocultamiento de valor en el precio</t>
        </is>
      </c>
      <c r="E34" s="264" t="inlineStr">
        <is>
          <t>La disposición de la línea admite sobrevaluar, subvaluar o fraccionar el precio sin que la contabilidad lo refleje.</t>
        </is>
      </c>
      <c r="F34" s="264" t="inlineStr">
        <is>
          <t>El precio se aparta del valor de referencia, pero existe explicación documentada de la diferencia.</t>
        </is>
      </c>
      <c r="G34" s="264" t="inlineStr">
        <is>
          <t>El precio corresponde al valor de referencia y queda registrado en la contabilidad.</t>
        </is>
      </c>
      <c r="H34" s="444" t="inlineStr">
        <is>
          <t>bandera</t>
        </is>
      </c>
    </row>
    <row r="35" ht="18.75" customHeight="1" s="225">
      <c r="A35" s="264">
        <f>B35&amp;"-"&amp;C35</f>
        <v/>
      </c>
      <c r="B35" s="442" t="inlineStr">
        <is>
          <t>II - Tarjetas de crédito o servicios</t>
        </is>
      </c>
      <c r="C35" s="443" t="n">
        <v>5</v>
      </c>
      <c r="D35" s="264" t="inlineStr">
        <is>
          <t>Exposición a personas señaladas por terrorismo</t>
        </is>
      </c>
      <c r="E35" s="264" t="inlineStr">
        <is>
          <t>El titular, su beneficiario o su contraparte aparece en listas de sanciones o de organizaciones terroristas.</t>
        </is>
      </c>
      <c r="F35" s="264" t="inlineStr">
        <is>
          <t>Existe un vínculo indirecto —contraparte, domicilio o ruta de los fondos— con una jurisdicción en conflicto o de acción requerida.</t>
        </is>
      </c>
      <c r="G35" s="264" t="inlineStr">
        <is>
          <t>Sin coincidencias ni vínculos con esas listas ni con jurisdicciones en conflicto, con búsqueda documentada.</t>
        </is>
      </c>
      <c r="H35" s="444" t="inlineStr">
        <is>
          <t>campo</t>
        </is>
      </c>
    </row>
    <row r="36" ht="18.75" customHeight="1" s="225">
      <c r="A36" s="264">
        <f>B36&amp;"-"&amp;C36</f>
        <v/>
      </c>
      <c r="B36" s="442" t="inlineStr">
        <is>
          <t>II - Tarjetas de crédito o servicios</t>
        </is>
      </c>
      <c r="C36" s="443" t="n">
        <v>6</v>
      </c>
      <c r="D36" s="264" t="inlineStr">
        <is>
          <t>Tipo de persona</t>
        </is>
      </c>
      <c r="E36" s="264" t="inlineStr">
        <is>
          <t>El titular de la tarjeta es un fideicomiso u otro vehículo sin personalidad jurídica propia. No hay un titular único: la figura permite que quien dispone de la línea sean personas distintas y que ninguna aparezca en el contrato.</t>
        </is>
      </c>
      <c r="F36" s="264" t="inlineStr">
        <is>
          <t>El titular de la tarjeta es persona moral. La voluntad se forma en órganos y la propiedad está en socios, así que hay que llegar al Beneficiario Controlador para saber quién está realmente detrás.</t>
        </is>
      </c>
      <c r="G36" s="264" t="inlineStr">
        <is>
          <t>El titular de la tarjeta es persona física. Coincide quien dispone de la línea, y la identificación es directa contra un solo expediente.</t>
        </is>
      </c>
      <c r="H36" s="444" t="inlineStr">
        <is>
          <t>campo</t>
        </is>
      </c>
    </row>
    <row r="37" ht="18.75" customHeight="1" s="225">
      <c r="A37" s="264">
        <f>B37&amp;"-"&amp;C37</f>
        <v/>
      </c>
      <c r="B37" s="442" t="inlineStr">
        <is>
          <t>II - Tarjetas de crédito o servicios</t>
        </is>
      </c>
      <c r="C37" s="443" t="n">
        <v>7</v>
      </c>
      <c r="D37" s="264" t="inlineStr">
        <is>
          <t>Antigüedad del Cliente</t>
        </is>
      </c>
      <c r="E37" s="264" t="inlineStr">
        <is>
          <t>Persona moral constituida hace menos de dos años, o persona física menor de veintitrés años.</t>
        </is>
      </c>
      <c r="F37" s="264" t="inlineStr">
        <is>
          <t>Persona moral constituida hace entre dos y cinco años.</t>
        </is>
      </c>
      <c r="G37" s="264" t="inlineStr">
        <is>
          <t>Persona moral con más de cinco años de constituida, o persona física de veintitrés años en adelante.</t>
        </is>
      </c>
      <c r="H37" s="444" t="inlineStr">
        <is>
          <t>campo</t>
        </is>
      </c>
    </row>
    <row r="38" ht="18.75" customHeight="1" s="225">
      <c r="A38" s="264">
        <f>B38&amp;"-"&amp;C38</f>
        <v/>
      </c>
      <c r="B38" s="442" t="inlineStr">
        <is>
          <t>II - Tarjetas de crédito o servicios</t>
        </is>
      </c>
      <c r="C38" s="443" t="n">
        <v>8</v>
      </c>
      <c r="D38" s="264" t="inlineStr">
        <is>
          <t>Giro o actividad declarada</t>
        </is>
      </c>
      <c r="E38" s="264" t="inlineStr">
        <is>
          <t>El giro que declara el titular es a su vez una Actividad Vulnerable del artículo 17, o no se acredita con documento alguno.</t>
        </is>
      </c>
      <c r="F38" s="264" t="inlineStr">
        <is>
          <t>El giro se declara y se acredita sólo de forma parcial.</t>
        </is>
      </c>
      <c r="G38" s="264" t="inlineStr">
        <is>
          <t>El giro se acredita con documento: constancia de situación fiscal, acta constitutiva o comprobante de empleo.</t>
        </is>
      </c>
      <c r="H38" s="444" t="inlineStr">
        <is>
          <t>campo</t>
        </is>
      </c>
    </row>
    <row r="39" ht="18.75" customHeight="1" s="225">
      <c r="A39" s="264">
        <f>B39&amp;"-"&amp;C39</f>
        <v/>
      </c>
      <c r="B39" s="442" t="inlineStr">
        <is>
          <t>II - Tarjetas de crédito o servicios</t>
        </is>
      </c>
      <c r="C39" s="443" t="n">
        <v>9</v>
      </c>
      <c r="D39" s="264" t="inlineStr">
        <is>
          <t>Nacionalidad</t>
        </is>
      </c>
      <c r="E39" s="264" t="inlineStr">
        <is>
          <t>Nacionalidad de país o jurisdicción señalada por la UIF, o no determinada.</t>
        </is>
      </c>
      <c r="F39" s="264" t="inlineStr">
        <is>
          <t>Nacionalidad extranjera de país sin señalamiento.</t>
        </is>
      </c>
      <c r="G39" s="264" t="inlineStr">
        <is>
          <t>Nacionalidad mexicana.</t>
        </is>
      </c>
      <c r="H39" s="444" t="inlineStr">
        <is>
          <t>campo</t>
        </is>
      </c>
    </row>
    <row r="40" ht="18.75" customHeight="1" s="225">
      <c r="A40" s="264">
        <f>B40&amp;"-"&amp;C40</f>
        <v/>
      </c>
      <c r="B40" s="442" t="inlineStr">
        <is>
          <t>II - Tarjetas de crédito o servicios</t>
        </is>
      </c>
      <c r="C40" s="443" t="n">
        <v>10</v>
      </c>
      <c r="D40" s="264" t="inlineStr">
        <is>
          <t>País y entidad de residencia</t>
        </is>
      </c>
      <c r="E40" s="264" t="inlineStr">
        <is>
          <t>Residencia en jurisdicción de régimen fiscal preferente o señalada por deficiencias, o domicilio no verificable.</t>
        </is>
      </c>
      <c r="F40" s="264" t="inlineStr">
        <is>
          <t>Residencia en el extranjero sin señalamiento, o en entidad federativa señalada en la ENR.</t>
        </is>
      </c>
      <c r="G40" s="264" t="inlineStr">
        <is>
          <t>Residencia en México, en entidad federativa sin señalamiento en la ENR.</t>
        </is>
      </c>
      <c r="H40" s="444" t="inlineStr">
        <is>
          <t>campo</t>
        </is>
      </c>
    </row>
    <row r="41" ht="18.75" customHeight="1" s="225">
      <c r="A41" s="264">
        <f>B41&amp;"-"&amp;C41</f>
        <v/>
      </c>
      <c r="B41" s="442" t="inlineStr">
        <is>
          <t>II - Tarjetas de crédito o servicios</t>
        </is>
      </c>
      <c r="C41" s="443" t="n">
        <v>11</v>
      </c>
      <c r="D41" s="264" t="inlineStr">
        <is>
          <t>Condición de Persona Políticamente Expuesta</t>
        </is>
      </c>
      <c r="E41" s="264" t="inlineStr">
        <is>
          <t>Persona Políticamente Expuesta extranjera, o nacional cuyo comportamiento transaccional no corresponde con sus ingresos y funciones.</t>
        </is>
      </c>
      <c r="F41" s="264" t="inlineStr">
        <is>
          <t>Persona Políticamente Expuesta nacional con comportamiento congruente, o familiar o allegado de una.</t>
        </is>
      </c>
      <c r="G41" s="264" t="inlineStr">
        <is>
          <t>Sin condición de Persona Políticamente Expuesta, con búsqueda documentada.</t>
        </is>
      </c>
      <c r="H41" s="444" t="inlineStr">
        <is>
          <t>campo</t>
        </is>
      </c>
    </row>
    <row r="42" ht="18.75" customHeight="1" s="225">
      <c r="A42" s="264">
        <f>B42&amp;"-"&amp;C42</f>
        <v/>
      </c>
      <c r="B42" s="442" t="inlineStr">
        <is>
          <t>II - Tarjetas de crédito o servicios</t>
        </is>
      </c>
      <c r="C42" s="443" t="n">
        <v>12</v>
      </c>
      <c r="D42" s="264" t="inlineStr">
        <is>
          <t>Resultado de la búsqueda en listas</t>
        </is>
      </c>
      <c r="E42" s="264" t="inlineStr">
        <is>
          <t>Coincidencia positiva en listas de personas bloqueadas o de sanciones, o búsqueda no realizada o sin constancia.</t>
        </is>
      </c>
      <c r="F42" s="264" t="inlineStr">
        <is>
          <t>Coincidencia descartada por homonimia acreditada, con constancia.</t>
        </is>
      </c>
      <c r="G42" s="264" t="inlineStr">
        <is>
          <t>Sin coincidencia, con constancia de la búsqueda y su fecha.</t>
        </is>
      </c>
      <c r="H42" s="444" t="inlineStr">
        <is>
          <t>campo</t>
        </is>
      </c>
    </row>
    <row r="43" ht="18.75" customHeight="1" s="225">
      <c r="A43" s="264">
        <f>B43&amp;"-"&amp;C43</f>
        <v/>
      </c>
      <c r="B43" s="442" t="inlineStr">
        <is>
          <t>II - Tarjetas de crédito o servicios</t>
        </is>
      </c>
      <c r="C43" s="443" t="n">
        <v>13</v>
      </c>
      <c r="D43" s="264" t="inlineStr">
        <is>
          <t>Profundidad de la cadena de control</t>
        </is>
      </c>
      <c r="E43" s="264" t="inlineStr">
        <is>
          <t>No se logra identificar al Beneficiario Controlador de el titular, o la cadena no es acreditable.</t>
        </is>
      </c>
      <c r="F43" s="264" t="inlineStr">
        <is>
          <t>El Beneficiario Controlador se identifica atravesando dos o más niveles societarios o fiduciarios.</t>
        </is>
      </c>
      <c r="G43" s="264" t="inlineStr">
        <is>
          <t>El Beneficiario Controlador se identifica en un solo nivel, o el titular es su propio beneficiario.</t>
        </is>
      </c>
      <c r="H43" s="444" t="inlineStr">
        <is>
          <t>calculado</t>
        </is>
      </c>
    </row>
    <row r="44" ht="18.75" customHeight="1" s="225">
      <c r="A44" s="264">
        <f>B44&amp;"-"&amp;C44</f>
        <v/>
      </c>
      <c r="B44" s="442" t="inlineStr">
        <is>
          <t>II - Tarjetas de crédito o servicios</t>
        </is>
      </c>
      <c r="C44" s="443" t="n">
        <v>14</v>
      </c>
      <c r="D44" s="264" t="inlineStr">
        <is>
          <t>País donde se realiza la operación</t>
        </is>
      </c>
      <c r="E44" s="264" t="inlineStr">
        <is>
          <t>La disposición de la línea se pacta con o desde una jurisdicción de alto riesgo o no cooperante.</t>
        </is>
      </c>
      <c r="F44" s="264" t="inlineStr">
        <is>
          <t>La disposición de la línea se pacta con una jurisdicción extranjera sin señalamiento.</t>
        </is>
      </c>
      <c r="G44" s="264" t="inlineStr">
        <is>
          <t>La disposición de la línea se realiza íntegramente en México.</t>
        </is>
      </c>
      <c r="H44" s="444" t="inlineStr">
        <is>
          <t>campo</t>
        </is>
      </c>
    </row>
    <row r="45" ht="18.75" customHeight="1" s="225">
      <c r="A45" s="264">
        <f>B45&amp;"-"&amp;C45</f>
        <v/>
      </c>
      <c r="B45" s="442" t="inlineStr">
        <is>
          <t>II - Tarjetas de crédito o servicios</t>
        </is>
      </c>
      <c r="C45" s="443" t="n">
        <v>15</v>
      </c>
      <c r="D45" s="264" t="inlineStr">
        <is>
          <t>Entidad o municipio de la operación</t>
        </is>
      </c>
      <c r="E45" s="264" t="inlineStr">
        <is>
          <t>La disposición de la línea ocurre en un municipio o zona identificada de alto riesgo.</t>
        </is>
      </c>
      <c r="F45" s="264" t="inlineStr">
        <is>
          <t>La disposición de la línea ocurre en una entidad federativa con señalamiento en la ENR.</t>
        </is>
      </c>
      <c r="G45" s="264" t="inlineStr">
        <is>
          <t>La disposición de la línea ocurre en una entidad federativa sin señalamiento en la ENR.</t>
        </is>
      </c>
      <c r="H45" s="444" t="inlineStr">
        <is>
          <t>campo</t>
        </is>
      </c>
    </row>
    <row r="46" ht="18.75" customHeight="1" s="225">
      <c r="A46" s="264">
        <f>B46&amp;"-"&amp;C46</f>
        <v/>
      </c>
      <c r="B46" s="442" t="inlineStr">
        <is>
          <t>II - Tarjetas de crédito o servicios</t>
        </is>
      </c>
      <c r="C46" s="443" t="n">
        <v>16</v>
      </c>
      <c r="D46" s="264" t="inlineStr">
        <is>
          <t>Vínculo con jurisdicción sancionada o de acción requerida</t>
        </is>
      </c>
      <c r="E46" s="264" t="inlineStr">
        <is>
          <t>Hay exposición directa a una jurisdicción sancionada, en conflicto armado o de acción requerida del GAFI.</t>
        </is>
      </c>
      <c r="F46" s="264" t="inlineStr">
        <is>
          <t>La exposición es indirecta: una contraparte o la ruta de los fondos toca esa jurisdicción.</t>
        </is>
      </c>
      <c r="G46" s="264" t="inlineStr">
        <is>
          <t>Sin exposición a jurisdicciones sancionadas, en conflicto ni de acción requerida.</t>
        </is>
      </c>
      <c r="H46" s="444" t="inlineStr">
        <is>
          <t>campo</t>
        </is>
      </c>
    </row>
    <row r="47" ht="18.75" customHeight="1" s="225">
      <c r="A47" s="264">
        <f>B47&amp;"-"&amp;C47</f>
        <v/>
      </c>
      <c r="B47" s="442" t="inlineStr">
        <is>
          <t>II - Tarjetas de crédito o servicios</t>
        </is>
      </c>
      <c r="C47" s="443" t="n">
        <v>17</v>
      </c>
      <c r="D47" s="264" t="inlineStr">
        <is>
          <t>Coincidencia entre domicilio y lugar de la operación</t>
        </is>
      </c>
      <c r="E47" s="264" t="inlineStr">
        <is>
          <t>El domicilio de el titular y el lugar de la disposición de la línea no coinciden, y no hay explicación documentada.</t>
        </is>
      </c>
      <c r="F47" s="264" t="inlineStr">
        <is>
          <t>No coinciden, pero consta por escrito la razón de operar en ese lugar.</t>
        </is>
      </c>
      <c r="G47" s="264" t="inlineStr">
        <is>
          <t>El domicilio de el titular y el lugar de la disposición de la línea coinciden.</t>
        </is>
      </c>
      <c r="H47" s="444" t="inlineStr">
        <is>
          <t>calculado</t>
        </is>
      </c>
    </row>
    <row r="48" ht="18.75" customHeight="1" s="225">
      <c r="A48" s="264">
        <f>B48&amp;"-"&amp;C48</f>
        <v/>
      </c>
      <c r="B48" s="442" t="inlineStr">
        <is>
          <t>II - Tarjetas de crédito o servicios</t>
        </is>
      </c>
      <c r="C48" s="443" t="n">
        <v>18</v>
      </c>
      <c r="D48" s="264" t="inlineStr">
        <is>
          <t>Instrumento con que se paga</t>
        </is>
      </c>
      <c r="E48" s="264" t="inlineStr">
        <is>
          <t>Efectivo por encima de tu umbral interno, instrumento al portador, o pago en especie.</t>
        </is>
      </c>
      <c r="F48" s="264" t="inlineStr">
        <is>
          <t>Pago mixto, con un componente en efectivo por debajo de tu umbral interno.</t>
        </is>
      </c>
      <c r="G48" s="264" t="inlineStr">
        <is>
          <t>Transferencia electrónica o cheque nominativo desde una cuenta a nombre de el titular.</t>
        </is>
      </c>
      <c r="H48" s="444" t="inlineStr">
        <is>
          <t>campo</t>
        </is>
      </c>
    </row>
    <row r="49" ht="18.75" customHeight="1" s="225">
      <c r="A49" s="264">
        <f>B49&amp;"-"&amp;C49</f>
        <v/>
      </c>
      <c r="B49" s="442" t="inlineStr">
        <is>
          <t>II - Tarjetas de crédito o servicios</t>
        </is>
      </c>
      <c r="C49" s="443" t="n">
        <v>19</v>
      </c>
      <c r="D49" s="264" t="inlineStr">
        <is>
          <t>Moneda de la operación</t>
        </is>
      </c>
      <c r="E49" s="264" t="inlineStr">
        <is>
          <t>Divisa distinta del dólar estadounidense y del euro, o activo virtual.</t>
        </is>
      </c>
      <c r="F49" s="264" t="inlineStr">
        <is>
          <t>Dólar estadounidense o euro, con soporte documental.</t>
        </is>
      </c>
      <c r="G49" s="264" t="inlineStr">
        <is>
          <t>Peso mexicano.</t>
        </is>
      </c>
      <c r="H49" s="444" t="inlineStr">
        <is>
          <t>campo</t>
        </is>
      </c>
    </row>
    <row r="50" ht="18.75" customHeight="1" s="225">
      <c r="A50" s="264">
        <f>B50&amp;"-"&amp;C50</f>
        <v/>
      </c>
      <c r="B50" s="442" t="inlineStr">
        <is>
          <t>II - Tarjetas de crédito o servicios</t>
        </is>
      </c>
      <c r="C50" s="443" t="n">
        <v>20</v>
      </c>
      <c r="D50" s="264" t="inlineStr">
        <is>
          <t>Monto frente al umbral de tu fracción</t>
        </is>
      </c>
      <c r="E50" s="264" t="inlineStr">
        <is>
          <t>La disposición de la línea iguala o supera el umbral de Aviso de tu fracción del artículo 17.</t>
        </is>
      </c>
      <c r="F50" s="264" t="inlineStr">
        <is>
          <t>La disposición de la línea se sitúa entre el umbral de identificación y el de Aviso.</t>
        </is>
      </c>
      <c r="G50" s="264" t="inlineStr">
        <is>
          <t>La disposición de la línea queda por debajo del umbral de identificación.</t>
        </is>
      </c>
      <c r="H50" s="444" t="inlineStr">
        <is>
          <t>calculado</t>
        </is>
      </c>
    </row>
    <row r="51" ht="18.75" customHeight="1" s="225">
      <c r="A51" s="264">
        <f>B51&amp;"-"&amp;C51</f>
        <v/>
      </c>
      <c r="B51" s="442" t="inlineStr">
        <is>
          <t>II - Tarjetas de crédito o servicios</t>
        </is>
      </c>
      <c r="C51" s="443" t="n">
        <v>21</v>
      </c>
      <c r="D51" s="264" t="inlineStr">
        <is>
          <t>Número y ritmo de operaciones en el periodo</t>
        </is>
      </c>
      <c r="E51" s="264" t="inlineStr">
        <is>
          <t>El titular realiza cinco o más operaciones al año, o varias en intervalos cortos y regulares.</t>
        </is>
      </c>
      <c r="F51" s="264" t="inlineStr">
        <is>
          <t>El titular realiza entre dos y cuatro operaciones al año.</t>
        </is>
      </c>
      <c r="G51" s="264" t="inlineStr">
        <is>
          <t>El titular realiza una sola operación en el periodo.</t>
        </is>
      </c>
      <c r="H51" s="444" t="inlineStr">
        <is>
          <t>calculado</t>
        </is>
      </c>
    </row>
    <row r="52" ht="18.75" customHeight="1" s="225">
      <c r="A52" s="264">
        <f>B52&amp;"-"&amp;C52</f>
        <v/>
      </c>
      <c r="B52" s="442" t="inlineStr">
        <is>
          <t>II - Tarjetas de crédito o servicios</t>
        </is>
      </c>
      <c r="C52" s="443" t="n">
        <v>22</v>
      </c>
      <c r="D52" s="264" t="inlineStr">
        <is>
          <t>Canal: certeza de identificación del Cliente</t>
        </is>
      </c>
      <c r="E52" s="264" t="inlineStr">
        <is>
          <t>La operación llega por un gestor, plataforma o intermediario no acreditado: nadie responde por la identificación de el titular, y quien opera puede no ser quien dice ser.</t>
        </is>
      </c>
      <c r="F52" s="264" t="inlineStr">
        <is>
          <t>Se identifica a el titular de forma remota con verificación documental, o a través de un promotor o representante propio con contrato y responsable señalado.</t>
        </is>
      </c>
      <c r="G52" s="264" t="inlineStr">
        <is>
          <t>El titular comparece de forma directa, o se le identifica en remoto con biometría y prueba de vida.</t>
        </is>
      </c>
      <c r="H52" s="444" t="inlineStr">
        <is>
          <t>campo</t>
        </is>
      </c>
    </row>
    <row r="53" ht="18.75" customHeight="1" s="225">
      <c r="A53" s="264">
        <f>B53&amp;"-"&amp;C53</f>
        <v/>
      </c>
      <c r="B53" s="442" t="inlineStr">
        <is>
          <t>II - Tarjetas de crédito o servicios</t>
        </is>
      </c>
      <c r="C53" s="443" t="n">
        <v>23</v>
      </c>
      <c r="D53" s="264" t="inlineStr">
        <is>
          <t>Acreditación del origen de los recursos</t>
        </is>
      </c>
      <c r="E53" s="264" t="inlineStr">
        <is>
          <t>El origen de los recursos se declara sin soporte documental, o no se manifiesta.</t>
        </is>
      </c>
      <c r="F53" s="264" t="inlineStr">
        <is>
          <t>El origen se declara y se acredita sólo de forma parcial.</t>
        </is>
      </c>
      <c r="G53" s="264" t="inlineStr">
        <is>
          <t>El origen se acredita con documentación verificable.</t>
        </is>
      </c>
      <c r="H53" s="444" t="inlineStr">
        <is>
          <t>bandera</t>
        </is>
      </c>
    </row>
    <row r="54" ht="18.75" customHeight="1" s="225">
      <c r="A54" s="264">
        <f>B54&amp;"-"&amp;C54</f>
        <v/>
      </c>
      <c r="B54" s="442" t="inlineStr">
        <is>
          <t>II - Tarjetas de crédito o servicios</t>
        </is>
      </c>
      <c r="C54" s="443" t="n">
        <v>24</v>
      </c>
      <c r="D54" s="264" t="inlineStr">
        <is>
          <t>Acreditación del destino de los recursos o del bien</t>
        </is>
      </c>
      <c r="E54" s="264" t="inlineStr">
        <is>
          <t>El destino no se manifiesta, o los recursos o la línea o el servicio contratado pasan a un tercero no relacionado con el titular.</t>
        </is>
      </c>
      <c r="F54" s="264" t="inlineStr">
        <is>
          <t>El destino se declara y es verificable.</t>
        </is>
      </c>
      <c r="G54" s="264" t="inlineStr">
        <is>
          <t>El destino es la línea o el servicio contratado mismo, y queda registrado en la operación.</t>
        </is>
      </c>
      <c r="H54" s="444" t="inlineStr">
        <is>
          <t>bandera</t>
        </is>
      </c>
    </row>
    <row r="55" ht="18.75" customHeight="1" s="225">
      <c r="A55" s="264">
        <f>B55&amp;"-"&amp;C55</f>
        <v/>
      </c>
      <c r="B55" s="442" t="inlineStr">
        <is>
          <t>II - Tarjetas de crédito o servicios</t>
        </is>
      </c>
      <c r="C55" s="443" t="n">
        <v>25</v>
      </c>
      <c r="D55" s="264" t="inlineStr">
        <is>
          <t>Combinación de canal e instrumento idónea para el financiamiento al terrorismo</t>
        </is>
      </c>
      <c r="E55" s="264" t="inlineStr">
        <is>
          <t>La disposición de la línea combina contratación a distancia sin verificación reforzada con pagos en efectivo o instrumentos al portador.</t>
        </is>
      </c>
      <c r="F55" s="264" t="inlineStr">
        <is>
          <t>Concurre uno solo de los dos: o la contratación remota sin verificación reforzada, o el pago en instrumento no bancarizado.</t>
        </is>
      </c>
      <c r="G55" s="264" t="inlineStr">
        <is>
          <t>Ni la forma de contratar ni la de pagar permiten mover valor de forma anónima.</t>
        </is>
      </c>
      <c r="H55" s="444" t="inlineStr">
        <is>
          <t>bandera</t>
        </is>
      </c>
    </row>
    <row r="56" ht="18.75" customHeight="1" s="225">
      <c r="A56" s="264">
        <f>B56&amp;"-"&amp;C56</f>
        <v/>
      </c>
      <c r="B56" s="442" t="inlineStr">
        <is>
          <t>II - Tarjetas prepagadas y monederos electrónicos</t>
        </is>
      </c>
      <c r="C56" s="443" t="n">
        <v>1</v>
      </c>
      <c r="D56" s="264" t="inlineStr">
        <is>
          <t>Valor unitario de la operación</t>
        </is>
      </c>
      <c r="E56" s="264" t="inlineStr">
        <is>
          <t>El instrumento prepagado tiene un valor unitario muy por encima del ticket promedio de tu operación de doce meses.</t>
        </is>
      </c>
      <c r="F56" s="264" t="inlineStr">
        <is>
          <t>El instrumento prepagado tiene un valor unitario dentro del rango habitual de tu operación.</t>
        </is>
      </c>
      <c r="G56" s="264" t="inlineStr">
        <is>
          <t>El instrumento prepagado tiene un valor unitario por debajo de tu ticket promedio.</t>
        </is>
      </c>
      <c r="H56" s="444" t="inlineStr">
        <is>
          <t>calculado</t>
        </is>
      </c>
    </row>
    <row r="57" ht="18.75" customHeight="1" s="225">
      <c r="A57" s="264">
        <f>B57&amp;"-"&amp;C57</f>
        <v/>
      </c>
      <c r="B57" s="442" t="inlineStr">
        <is>
          <t>II - Tarjetas prepagadas y monederos electrónicos</t>
        </is>
      </c>
      <c r="C57" s="443" t="n">
        <v>2</v>
      </c>
      <c r="D57" s="264" t="inlineStr">
        <is>
          <t>Liquidez: facilidad de convertir en dinero</t>
        </is>
      </c>
      <c r="E57" s="264" t="inlineStr">
        <is>
          <t>El instrumento prepagado puede revenderse o cederse de inmediato y prácticamente a su valor íntegro.</t>
        </is>
      </c>
      <c r="F57" s="264" t="inlineStr">
        <is>
          <t>El instrumento prepagado puede revenderse, pero con trámite, plazo o pérdida de valor apreciable.</t>
        </is>
      </c>
      <c r="G57" s="264" t="inlineStr">
        <is>
          <t>El instrumento prepagado es difícil de revender: exige formalidades o registro, o pierde valor de forma significativa.</t>
        </is>
      </c>
      <c r="H57" s="444" t="inlineStr">
        <is>
          <t>bandera</t>
        </is>
      </c>
    </row>
    <row r="58" ht="18.75" customHeight="1" s="225">
      <c r="A58" s="264">
        <f>B58&amp;"-"&amp;C58</f>
        <v/>
      </c>
      <c r="B58" s="442" t="inlineStr">
        <is>
          <t>II - Tarjetas prepagadas y monederos electrónicos</t>
        </is>
      </c>
      <c r="C58" s="443" t="n">
        <v>3</v>
      </c>
      <c r="D58" s="264" t="inlineStr">
        <is>
          <t>Anonimato: si el beneficiario queda a la vista</t>
        </is>
      </c>
      <c r="E58" s="264" t="inlineStr">
        <is>
          <t>La emisión o el fondeo del instrumento admite que quien aparece no sea quien recibe el beneficio, sin que quede registro de quién es el beneficiario final.</t>
        </is>
      </c>
      <c r="F58" s="264" t="inlineStr">
        <is>
          <t>Se identifica a el adquirente, pero el beneficiario final se declara sin documento que lo respalde.</t>
        </is>
      </c>
      <c r="G58" s="264" t="inlineStr">
        <is>
          <t>El adquirente y el beneficiario final coinciden, y ambos constan en el expediente.</t>
        </is>
      </c>
      <c r="H58" s="444" t="inlineStr">
        <is>
          <t>bandera</t>
        </is>
      </c>
    </row>
    <row r="59" ht="18.75" customHeight="1" s="225">
      <c r="A59" s="264">
        <f>B59&amp;"-"&amp;C59</f>
        <v/>
      </c>
      <c r="B59" s="442" t="inlineStr">
        <is>
          <t>II - Tarjetas prepagadas y monederos electrónicos</t>
        </is>
      </c>
      <c r="C59" s="443" t="n">
        <v>4</v>
      </c>
      <c r="D59" s="264" t="inlineStr">
        <is>
          <t>Ocultamiento de valor en el precio</t>
        </is>
      </c>
      <c r="E59" s="264" t="inlineStr">
        <is>
          <t>La emisión o el fondeo del instrumento admite sobrevaluar, subvaluar o fraccionar el precio sin que la contabilidad lo refleje.</t>
        </is>
      </c>
      <c r="F59" s="264" t="inlineStr">
        <is>
          <t>El precio se aparta del valor de referencia, pero existe explicación documentada de la diferencia.</t>
        </is>
      </c>
      <c r="G59" s="264" t="inlineStr">
        <is>
          <t>El precio corresponde al valor de referencia y queda registrado en la contabilidad.</t>
        </is>
      </c>
      <c r="H59" s="444" t="inlineStr">
        <is>
          <t>bandera</t>
        </is>
      </c>
    </row>
    <row r="60" ht="18.75" customHeight="1" s="225">
      <c r="A60" s="264">
        <f>B60&amp;"-"&amp;C60</f>
        <v/>
      </c>
      <c r="B60" s="442" t="inlineStr">
        <is>
          <t>II - Tarjetas prepagadas y monederos electrónicos</t>
        </is>
      </c>
      <c r="C60" s="443" t="n">
        <v>5</v>
      </c>
      <c r="D60" s="264" t="inlineStr">
        <is>
          <t>Exposición a personas señaladas por terrorismo</t>
        </is>
      </c>
      <c r="E60" s="264" t="inlineStr">
        <is>
          <t>El adquirente, su beneficiario o su contraparte aparece en listas de sanciones o de organizaciones terroristas.</t>
        </is>
      </c>
      <c r="F60" s="264" t="inlineStr">
        <is>
          <t>Existe un vínculo indirecto —contraparte, domicilio o ruta de los fondos— con una jurisdicción en conflicto o de acción requerida.</t>
        </is>
      </c>
      <c r="G60" s="264" t="inlineStr">
        <is>
          <t>Sin coincidencias ni vínculos con esas listas ni con jurisdicciones en conflicto, con búsqueda documentada.</t>
        </is>
      </c>
      <c r="H60" s="444" t="inlineStr">
        <is>
          <t>campo</t>
        </is>
      </c>
    </row>
    <row r="61" ht="18.75" customHeight="1" s="225">
      <c r="A61" s="264">
        <f>B61&amp;"-"&amp;C61</f>
        <v/>
      </c>
      <c r="B61" s="442" t="inlineStr">
        <is>
          <t>II - Tarjetas prepagadas y monederos electrónicos</t>
        </is>
      </c>
      <c r="C61" s="443" t="n">
        <v>6</v>
      </c>
      <c r="D61" s="264" t="inlineStr">
        <is>
          <t>Tipo de persona</t>
        </is>
      </c>
      <c r="E61" s="264" t="inlineStr">
        <is>
          <t>El adquirente del instrumento es un fideicomiso u otro vehículo sin personalidad jurídica propia. No hay un titular único: la figura permite que quien lo fondea y quien lo usa sean personas distintas y que ninguna aparezca en el contrato.</t>
        </is>
      </c>
      <c r="F61" s="264" t="inlineStr">
        <is>
          <t>El adquirente del instrumento es persona moral. La voluntad se forma en órganos y la propiedad está en socios, así que hay que llegar al Beneficiario Controlador para saber quién está realmente detrás.</t>
        </is>
      </c>
      <c r="G61" s="264" t="inlineStr">
        <is>
          <t>El adquirente del instrumento es persona física. Coincide quien lo fondea y quien lo usa, y la identificación es directa contra un solo expediente.</t>
        </is>
      </c>
      <c r="H61" s="444" t="inlineStr">
        <is>
          <t>campo</t>
        </is>
      </c>
    </row>
    <row r="62" ht="18.75" customHeight="1" s="225">
      <c r="A62" s="264">
        <f>B62&amp;"-"&amp;C62</f>
        <v/>
      </c>
      <c r="B62" s="442" t="inlineStr">
        <is>
          <t>II - Tarjetas prepagadas y monederos electrónicos</t>
        </is>
      </c>
      <c r="C62" s="443" t="n">
        <v>7</v>
      </c>
      <c r="D62" s="264" t="inlineStr">
        <is>
          <t>Antigüedad del Cliente</t>
        </is>
      </c>
      <c r="E62" s="264" t="inlineStr">
        <is>
          <t>Persona moral constituida hace menos de dos años, o persona física menor de veintitrés años.</t>
        </is>
      </c>
      <c r="F62" s="264" t="inlineStr">
        <is>
          <t>Persona moral constituida hace entre dos y cinco años.</t>
        </is>
      </c>
      <c r="G62" s="264" t="inlineStr">
        <is>
          <t>Persona moral con más de cinco años de constituida, o persona física de veintitrés años en adelante.</t>
        </is>
      </c>
      <c r="H62" s="444" t="inlineStr">
        <is>
          <t>campo</t>
        </is>
      </c>
    </row>
    <row r="63" ht="18.75" customHeight="1" s="225">
      <c r="A63" s="264">
        <f>B63&amp;"-"&amp;C63</f>
        <v/>
      </c>
      <c r="B63" s="442" t="inlineStr">
        <is>
          <t>II - Tarjetas prepagadas y monederos electrónicos</t>
        </is>
      </c>
      <c r="C63" s="443" t="n">
        <v>8</v>
      </c>
      <c r="D63" s="264" t="inlineStr">
        <is>
          <t>Giro o actividad declarada</t>
        </is>
      </c>
      <c r="E63" s="264" t="inlineStr">
        <is>
          <t>El giro que declara el adquirente es a su vez una Actividad Vulnerable del artículo 17, o no se acredita con documento alguno.</t>
        </is>
      </c>
      <c r="F63" s="264" t="inlineStr">
        <is>
          <t>El giro se declara y se acredita sólo de forma parcial.</t>
        </is>
      </c>
      <c r="G63" s="264" t="inlineStr">
        <is>
          <t>El giro se acredita con documento: constancia de situación fiscal, acta constitutiva o comprobante de empleo.</t>
        </is>
      </c>
      <c r="H63" s="444" t="inlineStr">
        <is>
          <t>campo</t>
        </is>
      </c>
    </row>
    <row r="64" ht="18.75" customHeight="1" s="225">
      <c r="A64" s="264">
        <f>B64&amp;"-"&amp;C64</f>
        <v/>
      </c>
      <c r="B64" s="442" t="inlineStr">
        <is>
          <t>II - Tarjetas prepagadas y monederos electrónicos</t>
        </is>
      </c>
      <c r="C64" s="443" t="n">
        <v>9</v>
      </c>
      <c r="D64" s="264" t="inlineStr">
        <is>
          <t>Nacionalidad</t>
        </is>
      </c>
      <c r="E64" s="264" t="inlineStr">
        <is>
          <t>Nacionalidad de país o jurisdicción señalada por la UIF, o no determinada.</t>
        </is>
      </c>
      <c r="F64" s="264" t="inlineStr">
        <is>
          <t>Nacionalidad extranjera de país sin señalamiento.</t>
        </is>
      </c>
      <c r="G64" s="264" t="inlineStr">
        <is>
          <t>Nacionalidad mexicana.</t>
        </is>
      </c>
      <c r="H64" s="444" t="inlineStr">
        <is>
          <t>campo</t>
        </is>
      </c>
    </row>
    <row r="65" ht="18.75" customHeight="1" s="225">
      <c r="A65" s="264">
        <f>B65&amp;"-"&amp;C65</f>
        <v/>
      </c>
      <c r="B65" s="442" t="inlineStr">
        <is>
          <t>II - Tarjetas prepagadas y monederos electrónicos</t>
        </is>
      </c>
      <c r="C65" s="443" t="n">
        <v>10</v>
      </c>
      <c r="D65" s="264" t="inlineStr">
        <is>
          <t>País y entidad de residencia</t>
        </is>
      </c>
      <c r="E65" s="264" t="inlineStr">
        <is>
          <t>Residencia en jurisdicción de régimen fiscal preferente o señalada por deficiencias, o domicilio no verificable.</t>
        </is>
      </c>
      <c r="F65" s="264" t="inlineStr">
        <is>
          <t>Residencia en el extranjero sin señalamiento, o en entidad federativa señalada en la ENR.</t>
        </is>
      </c>
      <c r="G65" s="264" t="inlineStr">
        <is>
          <t>Residencia en México, en entidad federativa sin señalamiento en la ENR.</t>
        </is>
      </c>
      <c r="H65" s="444" t="inlineStr">
        <is>
          <t>campo</t>
        </is>
      </c>
    </row>
    <row r="66" ht="18.75" customHeight="1" s="225">
      <c r="A66" s="264">
        <f>B66&amp;"-"&amp;C66</f>
        <v/>
      </c>
      <c r="B66" s="442" t="inlineStr">
        <is>
          <t>II - Tarjetas prepagadas y monederos electrónicos</t>
        </is>
      </c>
      <c r="C66" s="443" t="n">
        <v>11</v>
      </c>
      <c r="D66" s="264" t="inlineStr">
        <is>
          <t>Condición de Persona Políticamente Expuesta</t>
        </is>
      </c>
      <c r="E66" s="264" t="inlineStr">
        <is>
          <t>Persona Políticamente Expuesta extranjera, o nacional cuyo comportamiento transaccional no corresponde con sus ingresos y funciones.</t>
        </is>
      </c>
      <c r="F66" s="264" t="inlineStr">
        <is>
          <t>Persona Políticamente Expuesta nacional con comportamiento congruente, o familiar o allegado de una.</t>
        </is>
      </c>
      <c r="G66" s="264" t="inlineStr">
        <is>
          <t>Sin condición de Persona Políticamente Expuesta, con búsqueda documentada.</t>
        </is>
      </c>
      <c r="H66" s="444" t="inlineStr">
        <is>
          <t>campo</t>
        </is>
      </c>
    </row>
    <row r="67" ht="18.75" customHeight="1" s="225">
      <c r="A67" s="264">
        <f>B67&amp;"-"&amp;C67</f>
        <v/>
      </c>
      <c r="B67" s="442" t="inlineStr">
        <is>
          <t>II - Tarjetas prepagadas y monederos electrónicos</t>
        </is>
      </c>
      <c r="C67" s="443" t="n">
        <v>12</v>
      </c>
      <c r="D67" s="264" t="inlineStr">
        <is>
          <t>Resultado de la búsqueda en listas</t>
        </is>
      </c>
      <c r="E67" s="264" t="inlineStr">
        <is>
          <t>Coincidencia positiva en listas de personas bloqueadas o de sanciones, o búsqueda no realizada o sin constancia.</t>
        </is>
      </c>
      <c r="F67" s="264" t="inlineStr">
        <is>
          <t>Coincidencia descartada por homonimia acreditada, con constancia.</t>
        </is>
      </c>
      <c r="G67" s="264" t="inlineStr">
        <is>
          <t>Sin coincidencia, con constancia de la búsqueda y su fecha.</t>
        </is>
      </c>
      <c r="H67" s="444" t="inlineStr">
        <is>
          <t>campo</t>
        </is>
      </c>
    </row>
    <row r="68" ht="18.75" customHeight="1" s="225">
      <c r="A68" s="264">
        <f>B68&amp;"-"&amp;C68</f>
        <v/>
      </c>
      <c r="B68" s="442" t="inlineStr">
        <is>
          <t>II - Tarjetas prepagadas y monederos electrónicos</t>
        </is>
      </c>
      <c r="C68" s="443" t="n">
        <v>13</v>
      </c>
      <c r="D68" s="264" t="inlineStr">
        <is>
          <t>Profundidad de la cadena de control</t>
        </is>
      </c>
      <c r="E68" s="264" t="inlineStr">
        <is>
          <t>No se logra identificar al Beneficiario Controlador de el adquirente, o la cadena no es acreditable.</t>
        </is>
      </c>
      <c r="F68" s="264" t="inlineStr">
        <is>
          <t>El Beneficiario Controlador se identifica atravesando dos o más niveles societarios o fiduciarios.</t>
        </is>
      </c>
      <c r="G68" s="264" t="inlineStr">
        <is>
          <t>El Beneficiario Controlador se identifica en un solo nivel, o el adquirente es su propio beneficiario.</t>
        </is>
      </c>
      <c r="H68" s="444" t="inlineStr">
        <is>
          <t>calculado</t>
        </is>
      </c>
    </row>
    <row r="69" ht="18.75" customHeight="1" s="225">
      <c r="A69" s="264">
        <f>B69&amp;"-"&amp;C69</f>
        <v/>
      </c>
      <c r="B69" s="442" t="inlineStr">
        <is>
          <t>II - Tarjetas prepagadas y monederos electrónicos</t>
        </is>
      </c>
      <c r="C69" s="443" t="n">
        <v>14</v>
      </c>
      <c r="D69" s="264" t="inlineStr">
        <is>
          <t>País donde se realiza la operación</t>
        </is>
      </c>
      <c r="E69" s="264" t="inlineStr">
        <is>
          <t>La emisión o el fondeo del instrumento se pacta con o desde una jurisdicción de alto riesgo o no cooperante.</t>
        </is>
      </c>
      <c r="F69" s="264" t="inlineStr">
        <is>
          <t>La emisión o el fondeo del instrumento se pacta con una jurisdicción extranjera sin señalamiento.</t>
        </is>
      </c>
      <c r="G69" s="264" t="inlineStr">
        <is>
          <t>La emisión o el fondeo del instrumento se realiza íntegramente en México.</t>
        </is>
      </c>
      <c r="H69" s="444" t="inlineStr">
        <is>
          <t>campo</t>
        </is>
      </c>
    </row>
    <row r="70" ht="18.75" customHeight="1" s="225">
      <c r="A70" s="264">
        <f>B70&amp;"-"&amp;C70</f>
        <v/>
      </c>
      <c r="B70" s="442" t="inlineStr">
        <is>
          <t>II - Tarjetas prepagadas y monederos electrónicos</t>
        </is>
      </c>
      <c r="C70" s="443" t="n">
        <v>15</v>
      </c>
      <c r="D70" s="264" t="inlineStr">
        <is>
          <t>Entidad o municipio de la operación</t>
        </is>
      </c>
      <c r="E70" s="264" t="inlineStr">
        <is>
          <t>La emisión o el fondeo del instrumento ocurre en un municipio o zona identificada de alto riesgo.</t>
        </is>
      </c>
      <c r="F70" s="264" t="inlineStr">
        <is>
          <t>La emisión o el fondeo del instrumento ocurre en una entidad federativa con señalamiento en la ENR.</t>
        </is>
      </c>
      <c r="G70" s="264" t="inlineStr">
        <is>
          <t>La emisión o el fondeo del instrumento ocurre en una entidad federativa sin señalamiento en la ENR.</t>
        </is>
      </c>
      <c r="H70" s="444" t="inlineStr">
        <is>
          <t>campo</t>
        </is>
      </c>
    </row>
    <row r="71" ht="18.75" customHeight="1" s="225">
      <c r="A71" s="264">
        <f>B71&amp;"-"&amp;C71</f>
        <v/>
      </c>
      <c r="B71" s="442" t="inlineStr">
        <is>
          <t>II - Tarjetas prepagadas y monederos electrónicos</t>
        </is>
      </c>
      <c r="C71" s="443" t="n">
        <v>16</v>
      </c>
      <c r="D71" s="264" t="inlineStr">
        <is>
          <t>Vínculo con jurisdicción sancionada o de acción requerida</t>
        </is>
      </c>
      <c r="E71" s="264" t="inlineStr">
        <is>
          <t>Hay exposición directa a una jurisdicción sancionada, en conflicto armado o de acción requerida del GAFI.</t>
        </is>
      </c>
      <c r="F71" s="264" t="inlineStr">
        <is>
          <t>La exposición es indirecta: una contraparte o la ruta de los fondos toca esa jurisdicción.</t>
        </is>
      </c>
      <c r="G71" s="264" t="inlineStr">
        <is>
          <t>Sin exposición a jurisdicciones sancionadas, en conflicto ni de acción requerida.</t>
        </is>
      </c>
      <c r="H71" s="444" t="inlineStr">
        <is>
          <t>campo</t>
        </is>
      </c>
    </row>
    <row r="72" ht="18.75" customHeight="1" s="225">
      <c r="A72" s="264">
        <f>B72&amp;"-"&amp;C72</f>
        <v/>
      </c>
      <c r="B72" s="442" t="inlineStr">
        <is>
          <t>II - Tarjetas prepagadas y monederos electrónicos</t>
        </is>
      </c>
      <c r="C72" s="443" t="n">
        <v>17</v>
      </c>
      <c r="D72" s="264" t="inlineStr">
        <is>
          <t>Coincidencia entre domicilio y lugar de la operación</t>
        </is>
      </c>
      <c r="E72" s="264" t="inlineStr">
        <is>
          <t>El domicilio de el adquirente y el lugar de la emisión o el fondeo del instrumento no coinciden, y no hay explicación documentada.</t>
        </is>
      </c>
      <c r="F72" s="264" t="inlineStr">
        <is>
          <t>No coinciden, pero consta por escrito la razón de operar en ese lugar.</t>
        </is>
      </c>
      <c r="G72" s="264" t="inlineStr">
        <is>
          <t>El domicilio de el adquirente y el lugar de la emisión o el fondeo del instrumento coinciden.</t>
        </is>
      </c>
      <c r="H72" s="444" t="inlineStr">
        <is>
          <t>calculado</t>
        </is>
      </c>
    </row>
    <row r="73" ht="18.75" customHeight="1" s="225">
      <c r="A73" s="264">
        <f>B73&amp;"-"&amp;C73</f>
        <v/>
      </c>
      <c r="B73" s="442" t="inlineStr">
        <is>
          <t>II - Tarjetas prepagadas y monederos electrónicos</t>
        </is>
      </c>
      <c r="C73" s="443" t="n">
        <v>18</v>
      </c>
      <c r="D73" s="264" t="inlineStr">
        <is>
          <t>Instrumento con que se paga</t>
        </is>
      </c>
      <c r="E73" s="264" t="inlineStr">
        <is>
          <t>Efectivo por encima de tu umbral interno, instrumento al portador, o pago en especie.</t>
        </is>
      </c>
      <c r="F73" s="264" t="inlineStr">
        <is>
          <t>Pago mixto, con un componente en efectivo por debajo de tu umbral interno.</t>
        </is>
      </c>
      <c r="G73" s="264" t="inlineStr">
        <is>
          <t>Transferencia electrónica o cheque nominativo desde una cuenta a nombre de el adquirente.</t>
        </is>
      </c>
      <c r="H73" s="444" t="inlineStr">
        <is>
          <t>campo</t>
        </is>
      </c>
    </row>
    <row r="74" ht="18.75" customHeight="1" s="225">
      <c r="A74" s="264">
        <f>B74&amp;"-"&amp;C74</f>
        <v/>
      </c>
      <c r="B74" s="442" t="inlineStr">
        <is>
          <t>II - Tarjetas prepagadas y monederos electrónicos</t>
        </is>
      </c>
      <c r="C74" s="443" t="n">
        <v>19</v>
      </c>
      <c r="D74" s="264" t="inlineStr">
        <is>
          <t>Moneda de la operación</t>
        </is>
      </c>
      <c r="E74" s="264" t="inlineStr">
        <is>
          <t>Divisa distinta del dólar estadounidense y del euro, o activo virtual.</t>
        </is>
      </c>
      <c r="F74" s="264" t="inlineStr">
        <is>
          <t>Dólar estadounidense o euro, con soporte documental.</t>
        </is>
      </c>
      <c r="G74" s="264" t="inlineStr">
        <is>
          <t>Peso mexicano.</t>
        </is>
      </c>
      <c r="H74" s="444" t="inlineStr">
        <is>
          <t>campo</t>
        </is>
      </c>
    </row>
    <row r="75" ht="18.75" customHeight="1" s="225">
      <c r="A75" s="264">
        <f>B75&amp;"-"&amp;C75</f>
        <v/>
      </c>
      <c r="B75" s="442" t="inlineStr">
        <is>
          <t>II - Tarjetas prepagadas y monederos electrónicos</t>
        </is>
      </c>
      <c r="C75" s="443" t="n">
        <v>20</v>
      </c>
      <c r="D75" s="264" t="inlineStr">
        <is>
          <t>Monto frente al umbral de tu fracción</t>
        </is>
      </c>
      <c r="E75" s="264" t="inlineStr">
        <is>
          <t>La emisión o el fondeo del instrumento iguala o supera el umbral de Aviso de tu fracción del artículo 17.</t>
        </is>
      </c>
      <c r="F75" s="264" t="inlineStr">
        <is>
          <t>La emisión o el fondeo del instrumento se sitúa entre el umbral de identificación y el de Aviso.</t>
        </is>
      </c>
      <c r="G75" s="264" t="inlineStr">
        <is>
          <t>La emisión o el fondeo del instrumento queda por debajo del umbral de identificación.</t>
        </is>
      </c>
      <c r="H75" s="444" t="inlineStr">
        <is>
          <t>calculado</t>
        </is>
      </c>
    </row>
    <row r="76" ht="18.75" customHeight="1" s="225">
      <c r="A76" s="264">
        <f>B76&amp;"-"&amp;C76</f>
        <v/>
      </c>
      <c r="B76" s="442" t="inlineStr">
        <is>
          <t>II - Tarjetas prepagadas y monederos electrónicos</t>
        </is>
      </c>
      <c r="C76" s="443" t="n">
        <v>21</v>
      </c>
      <c r="D76" s="264" t="inlineStr">
        <is>
          <t>Número y ritmo de operaciones en el periodo</t>
        </is>
      </c>
      <c r="E76" s="264" t="inlineStr">
        <is>
          <t>El adquirente realiza cinco o más operaciones al año, o varias en intervalos cortos y regulares.</t>
        </is>
      </c>
      <c r="F76" s="264" t="inlineStr">
        <is>
          <t>El adquirente realiza entre dos y cuatro operaciones al año.</t>
        </is>
      </c>
      <c r="G76" s="264" t="inlineStr">
        <is>
          <t>El adquirente realiza una sola operación en el periodo.</t>
        </is>
      </c>
      <c r="H76" s="444" t="inlineStr">
        <is>
          <t>calculado</t>
        </is>
      </c>
    </row>
    <row r="77" ht="18.75" customHeight="1" s="225">
      <c r="A77" s="264">
        <f>B77&amp;"-"&amp;C77</f>
        <v/>
      </c>
      <c r="B77" s="442" t="inlineStr">
        <is>
          <t>II - Tarjetas prepagadas y monederos electrónicos</t>
        </is>
      </c>
      <c r="C77" s="443" t="n">
        <v>22</v>
      </c>
      <c r="D77" s="264" t="inlineStr">
        <is>
          <t>Canal: certeza de identificación del Cliente</t>
        </is>
      </c>
      <c r="E77" s="264" t="inlineStr">
        <is>
          <t>La operación llega por un gestor, plataforma o intermediario no acreditado: nadie responde por la identificación de el adquirente, y quien opera puede no ser quien dice ser.</t>
        </is>
      </c>
      <c r="F77" s="264" t="inlineStr">
        <is>
          <t>Se identifica a el adquirente de forma remota con verificación documental, o a través de un promotor o representante propio con contrato y responsable señalado.</t>
        </is>
      </c>
      <c r="G77" s="264" t="inlineStr">
        <is>
          <t>El adquirente comparece de forma directa, o se le identifica en remoto con biometría y prueba de vida.</t>
        </is>
      </c>
      <c r="H77" s="444" t="inlineStr">
        <is>
          <t>campo</t>
        </is>
      </c>
    </row>
    <row r="78" ht="18.75" customHeight="1" s="225">
      <c r="A78" s="264">
        <f>B78&amp;"-"&amp;C78</f>
        <v/>
      </c>
      <c r="B78" s="442" t="inlineStr">
        <is>
          <t>II - Tarjetas prepagadas y monederos electrónicos</t>
        </is>
      </c>
      <c r="C78" s="443" t="n">
        <v>23</v>
      </c>
      <c r="D78" s="264" t="inlineStr">
        <is>
          <t>Acreditación del origen de los recursos</t>
        </is>
      </c>
      <c r="E78" s="264" t="inlineStr">
        <is>
          <t>El origen de los recursos se declara sin soporte documental, o no se manifiesta.</t>
        </is>
      </c>
      <c r="F78" s="264" t="inlineStr">
        <is>
          <t>El origen se declara y se acredita sólo de forma parcial.</t>
        </is>
      </c>
      <c r="G78" s="264" t="inlineStr">
        <is>
          <t>El origen se acredita con documentación verificable.</t>
        </is>
      </c>
      <c r="H78" s="444" t="inlineStr">
        <is>
          <t>bandera</t>
        </is>
      </c>
    </row>
    <row r="79" ht="18.75" customHeight="1" s="225">
      <c r="A79" s="264">
        <f>B79&amp;"-"&amp;C79</f>
        <v/>
      </c>
      <c r="B79" s="442" t="inlineStr">
        <is>
          <t>II - Tarjetas prepagadas y monederos electrónicos</t>
        </is>
      </c>
      <c r="C79" s="443" t="n">
        <v>24</v>
      </c>
      <c r="D79" s="264" t="inlineStr">
        <is>
          <t>Acreditación del destino de los recursos o del bien</t>
        </is>
      </c>
      <c r="E79" s="264" t="inlineStr">
        <is>
          <t>El destino no se manifiesta, o los recursos o el instrumento prepagado pasan a un tercero no relacionado con el adquirente.</t>
        </is>
      </c>
      <c r="F79" s="264" t="inlineStr">
        <is>
          <t>El destino se declara y es verificable.</t>
        </is>
      </c>
      <c r="G79" s="264" t="inlineStr">
        <is>
          <t>El destino es el instrumento prepagado mismo, y queda registrado en la operación.</t>
        </is>
      </c>
      <c r="H79" s="444" t="inlineStr">
        <is>
          <t>bandera</t>
        </is>
      </c>
    </row>
    <row r="80" ht="18.75" customHeight="1" s="225">
      <c r="A80" s="264">
        <f>B80&amp;"-"&amp;C80</f>
        <v/>
      </c>
      <c r="B80" s="442" t="inlineStr">
        <is>
          <t>II - Tarjetas prepagadas y monederos electrónicos</t>
        </is>
      </c>
      <c r="C80" s="443" t="n">
        <v>25</v>
      </c>
      <c r="D80" s="264" t="inlineStr">
        <is>
          <t>Combinación de canal e instrumento idónea para el financiamiento al terrorismo</t>
        </is>
      </c>
      <c r="E80" s="264" t="inlineStr">
        <is>
          <t>La emisión o el fondeo del instrumento combina contratación a distancia sin verificación reforzada con pagos en efectivo o instrumentos al portador.</t>
        </is>
      </c>
      <c r="F80" s="264" t="inlineStr">
        <is>
          <t>Concurre uno solo de los dos: o la contratación remota sin verificación reforzada, o el pago en instrumento no bancarizado.</t>
        </is>
      </c>
      <c r="G80" s="264" t="inlineStr">
        <is>
          <t>Ni la forma de contratar ni la de pagar permiten mover valor de forma anónima.</t>
        </is>
      </c>
      <c r="H80" s="444" t="inlineStr">
        <is>
          <t>bandera</t>
        </is>
      </c>
    </row>
    <row r="81" ht="18.75" customHeight="1" s="225">
      <c r="A81" s="264">
        <f>B81&amp;"-"&amp;C81</f>
        <v/>
      </c>
      <c r="B81" s="442" t="inlineStr">
        <is>
          <t>III - Cheques de viajero</t>
        </is>
      </c>
      <c r="C81" s="443" t="n">
        <v>1</v>
      </c>
      <c r="D81" s="264" t="inlineStr">
        <is>
          <t>Valor unitario de la operación</t>
        </is>
      </c>
      <c r="E81" s="264" t="inlineStr">
        <is>
          <t>El cheque de viajero tiene un valor unitario muy por encima del ticket promedio de tu operación de doce meses.</t>
        </is>
      </c>
      <c r="F81" s="264" t="inlineStr">
        <is>
          <t>El cheque de viajero tiene un valor unitario dentro del rango habitual de tu operación.</t>
        </is>
      </c>
      <c r="G81" s="264" t="inlineStr">
        <is>
          <t>El cheque de viajero tiene un valor unitario por debajo de tu ticket promedio.</t>
        </is>
      </c>
      <c r="H81" s="444" t="inlineStr">
        <is>
          <t>calculado</t>
        </is>
      </c>
    </row>
    <row r="82" ht="18.75" customHeight="1" s="225">
      <c r="A82" s="264">
        <f>B82&amp;"-"&amp;C82</f>
        <v/>
      </c>
      <c r="B82" s="442" t="inlineStr">
        <is>
          <t>III - Cheques de viajero</t>
        </is>
      </c>
      <c r="C82" s="443" t="n">
        <v>2</v>
      </c>
      <c r="D82" s="264" t="inlineStr">
        <is>
          <t>Liquidez: facilidad de convertir en dinero</t>
        </is>
      </c>
      <c r="E82" s="264" t="inlineStr">
        <is>
          <t>El cheque de viajero puede revenderse o cederse de inmediato y prácticamente a su valor íntegro.</t>
        </is>
      </c>
      <c r="F82" s="264" t="inlineStr">
        <is>
          <t>El cheque de viajero puede revenderse, pero con trámite, plazo o pérdida de valor apreciable.</t>
        </is>
      </c>
      <c r="G82" s="264" t="inlineStr">
        <is>
          <t>El cheque de viajero es difícil de revender: exige formalidades o registro, o pierde valor de forma significativa.</t>
        </is>
      </c>
      <c r="H82" s="444" t="inlineStr">
        <is>
          <t>bandera</t>
        </is>
      </c>
    </row>
    <row r="83" ht="18.75" customHeight="1" s="225">
      <c r="A83" s="264">
        <f>B83&amp;"-"&amp;C83</f>
        <v/>
      </c>
      <c r="B83" s="442" t="inlineStr">
        <is>
          <t>III - Cheques de viajero</t>
        </is>
      </c>
      <c r="C83" s="443" t="n">
        <v>3</v>
      </c>
      <c r="D83" s="264" t="inlineStr">
        <is>
          <t>Anonimato: si el beneficiario queda a la vista</t>
        </is>
      </c>
      <c r="E83" s="264" t="inlineStr">
        <is>
          <t>La emisión o el cobro del documento admite que quien aparece no sea quien recibe el beneficio, sin que quede registro de quién es el beneficiario final.</t>
        </is>
      </c>
      <c r="F83" s="264" t="inlineStr">
        <is>
          <t>Se identifica a el adquirente, pero el beneficiario final se declara sin documento que lo respalde.</t>
        </is>
      </c>
      <c r="G83" s="264" t="inlineStr">
        <is>
          <t>El adquirente y el beneficiario final coinciden, y ambos constan en el expediente.</t>
        </is>
      </c>
      <c r="H83" s="444" t="inlineStr">
        <is>
          <t>bandera</t>
        </is>
      </c>
    </row>
    <row r="84" ht="18.75" customHeight="1" s="225">
      <c r="A84" s="264">
        <f>B84&amp;"-"&amp;C84</f>
        <v/>
      </c>
      <c r="B84" s="442" t="inlineStr">
        <is>
          <t>III - Cheques de viajero</t>
        </is>
      </c>
      <c r="C84" s="443" t="n">
        <v>4</v>
      </c>
      <c r="D84" s="264" t="inlineStr">
        <is>
          <t>Ocultamiento de valor en el precio</t>
        </is>
      </c>
      <c r="E84" s="264" t="inlineStr">
        <is>
          <t>La emisión o el cobro del documento admite sobrevaluar, subvaluar o fraccionar el precio sin que la contabilidad lo refleje.</t>
        </is>
      </c>
      <c r="F84" s="264" t="inlineStr">
        <is>
          <t>El precio se aparta del valor de referencia, pero existe explicación documentada de la diferencia.</t>
        </is>
      </c>
      <c r="G84" s="264" t="inlineStr">
        <is>
          <t>El precio corresponde al valor de referencia y queda registrado en la contabilidad.</t>
        </is>
      </c>
      <c r="H84" s="444" t="inlineStr">
        <is>
          <t>bandera</t>
        </is>
      </c>
    </row>
    <row r="85" ht="18.75" customHeight="1" s="225">
      <c r="A85" s="264">
        <f>B85&amp;"-"&amp;C85</f>
        <v/>
      </c>
      <c r="B85" s="442" t="inlineStr">
        <is>
          <t>III - Cheques de viajero</t>
        </is>
      </c>
      <c r="C85" s="443" t="n">
        <v>5</v>
      </c>
      <c r="D85" s="264" t="inlineStr">
        <is>
          <t>Exposición a personas señaladas por terrorismo</t>
        </is>
      </c>
      <c r="E85" s="264" t="inlineStr">
        <is>
          <t>El adquirente, su beneficiario o su contraparte aparece en listas de sanciones o de organizaciones terroristas.</t>
        </is>
      </c>
      <c r="F85" s="264" t="inlineStr">
        <is>
          <t>Existe un vínculo indirecto —contraparte, domicilio o ruta de los fondos— con una jurisdicción en conflicto o de acción requerida.</t>
        </is>
      </c>
      <c r="G85" s="264" t="inlineStr">
        <is>
          <t>Sin coincidencias ni vínculos con esas listas ni con jurisdicciones en conflicto, con búsqueda documentada.</t>
        </is>
      </c>
      <c r="H85" s="444" t="inlineStr">
        <is>
          <t>campo</t>
        </is>
      </c>
    </row>
    <row r="86" ht="18.75" customHeight="1" s="225">
      <c r="A86" s="264">
        <f>B86&amp;"-"&amp;C86</f>
        <v/>
      </c>
      <c r="B86" s="442" t="inlineStr">
        <is>
          <t>III - Cheques de viajero</t>
        </is>
      </c>
      <c r="C86" s="443" t="n">
        <v>6</v>
      </c>
      <c r="D86" s="264" t="inlineStr">
        <is>
          <t>Tipo de persona</t>
        </is>
      </c>
      <c r="E86" s="264" t="inlineStr">
        <is>
          <t>El adquirente de los cheques es un fideicomiso u otro vehículo sin personalidad jurídica propia. No hay un titular único: la figura permite que quien los compra y quien los cobra sean personas distintas y que ninguna aparezca en el contrato.</t>
        </is>
      </c>
      <c r="F86" s="264" t="inlineStr">
        <is>
          <t>El adquirente de los cheques es persona moral. La voluntad se forma en órganos y la propiedad está en socios, así que hay que llegar al Beneficiario Controlador para saber quién está realmente detrás.</t>
        </is>
      </c>
      <c r="G86" s="264" t="inlineStr">
        <is>
          <t>El adquirente de los cheques es persona física. Coincide quien los compra y quien los cobra, y la identificación es directa contra un solo expediente.</t>
        </is>
      </c>
      <c r="H86" s="444" t="inlineStr">
        <is>
          <t>campo</t>
        </is>
      </c>
    </row>
    <row r="87" ht="18.75" customHeight="1" s="225">
      <c r="A87" s="264">
        <f>B87&amp;"-"&amp;C87</f>
        <v/>
      </c>
      <c r="B87" s="442" t="inlineStr">
        <is>
          <t>III - Cheques de viajero</t>
        </is>
      </c>
      <c r="C87" s="443" t="n">
        <v>7</v>
      </c>
      <c r="D87" s="264" t="inlineStr">
        <is>
          <t>Antigüedad del Cliente</t>
        </is>
      </c>
      <c r="E87" s="264" t="inlineStr">
        <is>
          <t>Persona moral constituida hace menos de dos años, o persona física menor de veintitrés años.</t>
        </is>
      </c>
      <c r="F87" s="264" t="inlineStr">
        <is>
          <t>Persona moral constituida hace entre dos y cinco años.</t>
        </is>
      </c>
      <c r="G87" s="264" t="inlineStr">
        <is>
          <t>Persona moral con más de cinco años de constituida, o persona física de veintitrés años en adelante.</t>
        </is>
      </c>
      <c r="H87" s="444" t="inlineStr">
        <is>
          <t>campo</t>
        </is>
      </c>
    </row>
    <row r="88" ht="18.75" customHeight="1" s="225">
      <c r="A88" s="264">
        <f>B88&amp;"-"&amp;C88</f>
        <v/>
      </c>
      <c r="B88" s="442" t="inlineStr">
        <is>
          <t>III - Cheques de viajero</t>
        </is>
      </c>
      <c r="C88" s="443" t="n">
        <v>8</v>
      </c>
      <c r="D88" s="264" t="inlineStr">
        <is>
          <t>Giro o actividad declarada</t>
        </is>
      </c>
      <c r="E88" s="264" t="inlineStr">
        <is>
          <t>El giro que declara el adquirente es a su vez una Actividad Vulnerable del artículo 17, o no se acredita con documento alguno.</t>
        </is>
      </c>
      <c r="F88" s="264" t="inlineStr">
        <is>
          <t>El giro se declara y se acredita sólo de forma parcial.</t>
        </is>
      </c>
      <c r="G88" s="264" t="inlineStr">
        <is>
          <t>El giro se acredita con documento: constancia de situación fiscal, acta constitutiva o comprobante de empleo.</t>
        </is>
      </c>
      <c r="H88" s="444" t="inlineStr">
        <is>
          <t>campo</t>
        </is>
      </c>
    </row>
    <row r="89" ht="18.75" customHeight="1" s="225">
      <c r="A89" s="264">
        <f>B89&amp;"-"&amp;C89</f>
        <v/>
      </c>
      <c r="B89" s="442" t="inlineStr">
        <is>
          <t>III - Cheques de viajero</t>
        </is>
      </c>
      <c r="C89" s="443" t="n">
        <v>9</v>
      </c>
      <c r="D89" s="264" t="inlineStr">
        <is>
          <t>Nacionalidad</t>
        </is>
      </c>
      <c r="E89" s="264" t="inlineStr">
        <is>
          <t>Nacionalidad de país o jurisdicción señalada por la UIF, o no determinada.</t>
        </is>
      </c>
      <c r="F89" s="264" t="inlineStr">
        <is>
          <t>Nacionalidad extranjera de país sin señalamiento.</t>
        </is>
      </c>
      <c r="G89" s="264" t="inlineStr">
        <is>
          <t>Nacionalidad mexicana.</t>
        </is>
      </c>
      <c r="H89" s="444" t="inlineStr">
        <is>
          <t>campo</t>
        </is>
      </c>
    </row>
    <row r="90" ht="18.75" customHeight="1" s="225">
      <c r="A90" s="264">
        <f>B90&amp;"-"&amp;C90</f>
        <v/>
      </c>
      <c r="B90" s="442" t="inlineStr">
        <is>
          <t>III - Cheques de viajero</t>
        </is>
      </c>
      <c r="C90" s="443" t="n">
        <v>10</v>
      </c>
      <c r="D90" s="264" t="inlineStr">
        <is>
          <t>País y entidad de residencia</t>
        </is>
      </c>
      <c r="E90" s="264" t="inlineStr">
        <is>
          <t>Residencia en jurisdicción de régimen fiscal preferente o señalada por deficiencias, o domicilio no verificable.</t>
        </is>
      </c>
      <c r="F90" s="264" t="inlineStr">
        <is>
          <t>Residencia en el extranjero sin señalamiento, o en entidad federativa señalada en la ENR.</t>
        </is>
      </c>
      <c r="G90" s="264" t="inlineStr">
        <is>
          <t>Residencia en México, en entidad federativa sin señalamiento en la ENR.</t>
        </is>
      </c>
      <c r="H90" s="444" t="inlineStr">
        <is>
          <t>campo</t>
        </is>
      </c>
    </row>
    <row r="91" ht="18.75" customHeight="1" s="225">
      <c r="A91" s="264">
        <f>B91&amp;"-"&amp;C91</f>
        <v/>
      </c>
      <c r="B91" s="442" t="inlineStr">
        <is>
          <t>III - Cheques de viajero</t>
        </is>
      </c>
      <c r="C91" s="443" t="n">
        <v>11</v>
      </c>
      <c r="D91" s="264" t="inlineStr">
        <is>
          <t>Condición de Persona Políticamente Expuesta</t>
        </is>
      </c>
      <c r="E91" s="264" t="inlineStr">
        <is>
          <t>Persona Políticamente Expuesta extranjera, o nacional cuyo comportamiento transaccional no corresponde con sus ingresos y funciones.</t>
        </is>
      </c>
      <c r="F91" s="264" t="inlineStr">
        <is>
          <t>Persona Políticamente Expuesta nacional con comportamiento congruente, o familiar o allegado de una.</t>
        </is>
      </c>
      <c r="G91" s="264" t="inlineStr">
        <is>
          <t>Sin condición de Persona Políticamente Expuesta, con búsqueda documentada.</t>
        </is>
      </c>
      <c r="H91" s="444" t="inlineStr">
        <is>
          <t>campo</t>
        </is>
      </c>
    </row>
    <row r="92" ht="18.75" customHeight="1" s="225">
      <c r="A92" s="264">
        <f>B92&amp;"-"&amp;C92</f>
        <v/>
      </c>
      <c r="B92" s="442" t="inlineStr">
        <is>
          <t>III - Cheques de viajero</t>
        </is>
      </c>
      <c r="C92" s="443" t="n">
        <v>12</v>
      </c>
      <c r="D92" s="264" t="inlineStr">
        <is>
          <t>Resultado de la búsqueda en listas</t>
        </is>
      </c>
      <c r="E92" s="264" t="inlineStr">
        <is>
          <t>Coincidencia positiva en listas de personas bloqueadas o de sanciones, o búsqueda no realizada o sin constancia.</t>
        </is>
      </c>
      <c r="F92" s="264" t="inlineStr">
        <is>
          <t>Coincidencia descartada por homonimia acreditada, con constancia.</t>
        </is>
      </c>
      <c r="G92" s="264" t="inlineStr">
        <is>
          <t>Sin coincidencia, con constancia de la búsqueda y su fecha.</t>
        </is>
      </c>
      <c r="H92" s="444" t="inlineStr">
        <is>
          <t>campo</t>
        </is>
      </c>
    </row>
    <row r="93" ht="18.75" customHeight="1" s="225">
      <c r="A93" s="264">
        <f>B93&amp;"-"&amp;C93</f>
        <v/>
      </c>
      <c r="B93" s="442" t="inlineStr">
        <is>
          <t>III - Cheques de viajero</t>
        </is>
      </c>
      <c r="C93" s="443" t="n">
        <v>13</v>
      </c>
      <c r="D93" s="264" t="inlineStr">
        <is>
          <t>Profundidad de la cadena de control</t>
        </is>
      </c>
      <c r="E93" s="264" t="inlineStr">
        <is>
          <t>No se logra identificar al Beneficiario Controlador de el adquirente, o la cadena no es acreditable.</t>
        </is>
      </c>
      <c r="F93" s="264" t="inlineStr">
        <is>
          <t>El Beneficiario Controlador se identifica atravesando dos o más niveles societarios o fiduciarios.</t>
        </is>
      </c>
      <c r="G93" s="264" t="inlineStr">
        <is>
          <t>El Beneficiario Controlador se identifica en un solo nivel, o el adquirente es su propio beneficiario.</t>
        </is>
      </c>
      <c r="H93" s="444" t="inlineStr">
        <is>
          <t>calculado</t>
        </is>
      </c>
    </row>
    <row r="94" ht="18.75" customHeight="1" s="225">
      <c r="A94" s="264">
        <f>B94&amp;"-"&amp;C94</f>
        <v/>
      </c>
      <c r="B94" s="442" t="inlineStr">
        <is>
          <t>III - Cheques de viajero</t>
        </is>
      </c>
      <c r="C94" s="443" t="n">
        <v>14</v>
      </c>
      <c r="D94" s="264" t="inlineStr">
        <is>
          <t>País donde se realiza la operación</t>
        </is>
      </c>
      <c r="E94" s="264" t="inlineStr">
        <is>
          <t>La emisión o el cobro del documento se pacta con o desde una jurisdicción de alto riesgo o no cooperante.</t>
        </is>
      </c>
      <c r="F94" s="264" t="inlineStr">
        <is>
          <t>La emisión o el cobro del documento se pacta con una jurisdicción extranjera sin señalamiento.</t>
        </is>
      </c>
      <c r="G94" s="264" t="inlineStr">
        <is>
          <t>La emisión o el cobro del documento se realiza íntegramente en México.</t>
        </is>
      </c>
      <c r="H94" s="444" t="inlineStr">
        <is>
          <t>campo</t>
        </is>
      </c>
    </row>
    <row r="95" ht="18.75" customHeight="1" s="225">
      <c r="A95" s="264">
        <f>B95&amp;"-"&amp;C95</f>
        <v/>
      </c>
      <c r="B95" s="442" t="inlineStr">
        <is>
          <t>III - Cheques de viajero</t>
        </is>
      </c>
      <c r="C95" s="443" t="n">
        <v>15</v>
      </c>
      <c r="D95" s="264" t="inlineStr">
        <is>
          <t>Entidad o municipio de la operación</t>
        </is>
      </c>
      <c r="E95" s="264" t="inlineStr">
        <is>
          <t>La emisión o el cobro del documento ocurre en un municipio o zona identificada de alto riesgo.</t>
        </is>
      </c>
      <c r="F95" s="264" t="inlineStr">
        <is>
          <t>La emisión o el cobro del documento ocurre en una entidad federativa con señalamiento en la ENR.</t>
        </is>
      </c>
      <c r="G95" s="264" t="inlineStr">
        <is>
          <t>La emisión o el cobro del documento ocurre en una entidad federativa sin señalamiento en la ENR.</t>
        </is>
      </c>
      <c r="H95" s="444" t="inlineStr">
        <is>
          <t>campo</t>
        </is>
      </c>
    </row>
    <row r="96" ht="18.75" customHeight="1" s="225">
      <c r="A96" s="264">
        <f>B96&amp;"-"&amp;C96</f>
        <v/>
      </c>
      <c r="B96" s="442" t="inlineStr">
        <is>
          <t>III - Cheques de viajero</t>
        </is>
      </c>
      <c r="C96" s="443" t="n">
        <v>16</v>
      </c>
      <c r="D96" s="264" t="inlineStr">
        <is>
          <t>Vínculo con jurisdicción sancionada o de acción requerida</t>
        </is>
      </c>
      <c r="E96" s="264" t="inlineStr">
        <is>
          <t>Hay exposición directa a una jurisdicción sancionada, en conflicto armado o de acción requerida del GAFI.</t>
        </is>
      </c>
      <c r="F96" s="264" t="inlineStr">
        <is>
          <t>La exposición es indirecta: una contraparte o la ruta de los fondos toca esa jurisdicción.</t>
        </is>
      </c>
      <c r="G96" s="264" t="inlineStr">
        <is>
          <t>Sin exposición a jurisdicciones sancionadas, en conflicto ni de acción requerida.</t>
        </is>
      </c>
      <c r="H96" s="444" t="inlineStr">
        <is>
          <t>campo</t>
        </is>
      </c>
    </row>
    <row r="97" ht="18.75" customHeight="1" s="225">
      <c r="A97" s="264">
        <f>B97&amp;"-"&amp;C97</f>
        <v/>
      </c>
      <c r="B97" s="442" t="inlineStr">
        <is>
          <t>III - Cheques de viajero</t>
        </is>
      </c>
      <c r="C97" s="443" t="n">
        <v>17</v>
      </c>
      <c r="D97" s="264" t="inlineStr">
        <is>
          <t>Coincidencia entre domicilio y lugar de la operación</t>
        </is>
      </c>
      <c r="E97" s="264" t="inlineStr">
        <is>
          <t>El domicilio de el adquirente y el lugar de la emisión o el cobro del documento no coinciden, y no hay explicación documentada.</t>
        </is>
      </c>
      <c r="F97" s="264" t="inlineStr">
        <is>
          <t>No coinciden, pero consta por escrito la razón de operar en ese lugar.</t>
        </is>
      </c>
      <c r="G97" s="264" t="inlineStr">
        <is>
          <t>El domicilio de el adquirente y el lugar de la emisión o el cobro del documento coinciden.</t>
        </is>
      </c>
      <c r="H97" s="444" t="inlineStr">
        <is>
          <t>calculado</t>
        </is>
      </c>
    </row>
    <row r="98" ht="18.75" customHeight="1" s="225">
      <c r="A98" s="264">
        <f>B98&amp;"-"&amp;C98</f>
        <v/>
      </c>
      <c r="B98" s="442" t="inlineStr">
        <is>
          <t>III - Cheques de viajero</t>
        </is>
      </c>
      <c r="C98" s="443" t="n">
        <v>18</v>
      </c>
      <c r="D98" s="264" t="inlineStr">
        <is>
          <t>Instrumento con que se paga</t>
        </is>
      </c>
      <c r="E98" s="264" t="inlineStr">
        <is>
          <t>Efectivo por encima de tu umbral interno, instrumento al portador, o pago en especie.</t>
        </is>
      </c>
      <c r="F98" s="264" t="inlineStr">
        <is>
          <t>Pago mixto, con un componente en efectivo por debajo de tu umbral interno.</t>
        </is>
      </c>
      <c r="G98" s="264" t="inlineStr">
        <is>
          <t>Transferencia electrónica o cheque nominativo desde una cuenta a nombre de el adquirente.</t>
        </is>
      </c>
      <c r="H98" s="444" t="inlineStr">
        <is>
          <t>campo</t>
        </is>
      </c>
    </row>
    <row r="99" ht="18.75" customHeight="1" s="225">
      <c r="A99" s="264">
        <f>B99&amp;"-"&amp;C99</f>
        <v/>
      </c>
      <c r="B99" s="442" t="inlineStr">
        <is>
          <t>III - Cheques de viajero</t>
        </is>
      </c>
      <c r="C99" s="443" t="n">
        <v>19</v>
      </c>
      <c r="D99" s="264" t="inlineStr">
        <is>
          <t>Moneda de la operación</t>
        </is>
      </c>
      <c r="E99" s="264" t="inlineStr">
        <is>
          <t>Divisa distinta del dólar estadounidense y del euro, o activo virtual.</t>
        </is>
      </c>
      <c r="F99" s="264" t="inlineStr">
        <is>
          <t>Dólar estadounidense o euro, con soporte documental.</t>
        </is>
      </c>
      <c r="G99" s="264" t="inlineStr">
        <is>
          <t>Peso mexicano.</t>
        </is>
      </c>
      <c r="H99" s="444" t="inlineStr">
        <is>
          <t>campo</t>
        </is>
      </c>
    </row>
    <row r="100" ht="18.75" customHeight="1" s="225">
      <c r="A100" s="264">
        <f>B100&amp;"-"&amp;C100</f>
        <v/>
      </c>
      <c r="B100" s="442" t="inlineStr">
        <is>
          <t>III - Cheques de viajero</t>
        </is>
      </c>
      <c r="C100" s="443" t="n">
        <v>20</v>
      </c>
      <c r="D100" s="264" t="inlineStr">
        <is>
          <t>Monto frente al umbral de tu fracción</t>
        </is>
      </c>
      <c r="E100" s="264" t="inlineStr">
        <is>
          <t>La emisión o el cobro del documento iguala o supera el umbral de Aviso de tu fracción del artículo 17.</t>
        </is>
      </c>
      <c r="F100" s="264" t="inlineStr">
        <is>
          <t>La emisión o el cobro del documento se sitúa entre el umbral de identificación y el de Aviso.</t>
        </is>
      </c>
      <c r="G100" s="264" t="inlineStr">
        <is>
          <t>La emisión o el cobro del documento queda por debajo del umbral de identificación.</t>
        </is>
      </c>
      <c r="H100" s="444" t="inlineStr">
        <is>
          <t>calculado</t>
        </is>
      </c>
    </row>
    <row r="101" ht="18.75" customHeight="1" s="225">
      <c r="A101" s="264">
        <f>B101&amp;"-"&amp;C101</f>
        <v/>
      </c>
      <c r="B101" s="442" t="inlineStr">
        <is>
          <t>III - Cheques de viajero</t>
        </is>
      </c>
      <c r="C101" s="443" t="n">
        <v>21</v>
      </c>
      <c r="D101" s="264" t="inlineStr">
        <is>
          <t>Número y ritmo de operaciones en el periodo</t>
        </is>
      </c>
      <c r="E101" s="264" t="inlineStr">
        <is>
          <t>El adquirente realiza cinco o más operaciones al año, o varias en intervalos cortos y regulares.</t>
        </is>
      </c>
      <c r="F101" s="264" t="inlineStr">
        <is>
          <t>El adquirente realiza entre dos y cuatro operaciones al año.</t>
        </is>
      </c>
      <c r="G101" s="264" t="inlineStr">
        <is>
          <t>El adquirente realiza una sola operación en el periodo.</t>
        </is>
      </c>
      <c r="H101" s="444" t="inlineStr">
        <is>
          <t>calculado</t>
        </is>
      </c>
    </row>
    <row r="102" ht="18.75" customHeight="1" s="225">
      <c r="A102" s="264">
        <f>B102&amp;"-"&amp;C102</f>
        <v/>
      </c>
      <c r="B102" s="442" t="inlineStr">
        <is>
          <t>III - Cheques de viajero</t>
        </is>
      </c>
      <c r="C102" s="443" t="n">
        <v>22</v>
      </c>
      <c r="D102" s="264" t="inlineStr">
        <is>
          <t>Canal: certeza de identificación del Cliente</t>
        </is>
      </c>
      <c r="E102" s="264" t="inlineStr">
        <is>
          <t>La operación llega por un gestor, plataforma o intermediario no acreditado: nadie responde por la identificación de el adquirente, y quien opera puede no ser quien dice ser.</t>
        </is>
      </c>
      <c r="F102" s="264" t="inlineStr">
        <is>
          <t>Se identifica a el adquirente de forma remota con verificación documental, o a través de un promotor o representante propio con contrato y responsable señalado.</t>
        </is>
      </c>
      <c r="G102" s="264" t="inlineStr">
        <is>
          <t>El adquirente comparece de forma directa, o se le identifica en remoto con biometría y prueba de vida.</t>
        </is>
      </c>
      <c r="H102" s="444" t="inlineStr">
        <is>
          <t>campo</t>
        </is>
      </c>
    </row>
    <row r="103" ht="18.75" customHeight="1" s="225">
      <c r="A103" s="264">
        <f>B103&amp;"-"&amp;C103</f>
        <v/>
      </c>
      <c r="B103" s="442" t="inlineStr">
        <is>
          <t>III - Cheques de viajero</t>
        </is>
      </c>
      <c r="C103" s="443" t="n">
        <v>23</v>
      </c>
      <c r="D103" s="264" t="inlineStr">
        <is>
          <t>Acreditación del origen de los recursos</t>
        </is>
      </c>
      <c r="E103" s="264" t="inlineStr">
        <is>
          <t>El origen de los recursos se declara sin soporte documental, o no se manifiesta.</t>
        </is>
      </c>
      <c r="F103" s="264" t="inlineStr">
        <is>
          <t>El origen se declara y se acredita sólo de forma parcial.</t>
        </is>
      </c>
      <c r="G103" s="264" t="inlineStr">
        <is>
          <t>El origen se acredita con documentación verificable.</t>
        </is>
      </c>
      <c r="H103" s="444" t="inlineStr">
        <is>
          <t>bandera</t>
        </is>
      </c>
    </row>
    <row r="104" ht="18.75" customHeight="1" s="225">
      <c r="A104" s="264">
        <f>B104&amp;"-"&amp;C104</f>
        <v/>
      </c>
      <c r="B104" s="442" t="inlineStr">
        <is>
          <t>III - Cheques de viajero</t>
        </is>
      </c>
      <c r="C104" s="443" t="n">
        <v>24</v>
      </c>
      <c r="D104" s="264" t="inlineStr">
        <is>
          <t>Acreditación del destino de los recursos o del bien</t>
        </is>
      </c>
      <c r="E104" s="264" t="inlineStr">
        <is>
          <t>El destino no se manifiesta, o los recursos o el cheque de viajero pasan a un tercero no relacionado con el adquirente.</t>
        </is>
      </c>
      <c r="F104" s="264" t="inlineStr">
        <is>
          <t>El destino se declara y es verificable.</t>
        </is>
      </c>
      <c r="G104" s="264" t="inlineStr">
        <is>
          <t>El destino es el cheque de viajero mismo, y queda registrado en la operación.</t>
        </is>
      </c>
      <c r="H104" s="444" t="inlineStr">
        <is>
          <t>bandera</t>
        </is>
      </c>
    </row>
    <row r="105" ht="18.75" customHeight="1" s="225">
      <c r="A105" s="264">
        <f>B105&amp;"-"&amp;C105</f>
        <v/>
      </c>
      <c r="B105" s="442" t="inlineStr">
        <is>
          <t>III - Cheques de viajero</t>
        </is>
      </c>
      <c r="C105" s="443" t="n">
        <v>25</v>
      </c>
      <c r="D105" s="264" t="inlineStr">
        <is>
          <t>Combinación de canal e instrumento idónea para el financiamiento al terrorismo</t>
        </is>
      </c>
      <c r="E105" s="264" t="inlineStr">
        <is>
          <t>La emisión o el cobro del documento combina contratación a distancia sin verificación reforzada con pagos en efectivo o instrumentos al portador.</t>
        </is>
      </c>
      <c r="F105" s="264" t="inlineStr">
        <is>
          <t>Concurre uno solo de los dos: o la contratación remota sin verificación reforzada, o el pago en instrumento no bancarizado.</t>
        </is>
      </c>
      <c r="G105" s="264" t="inlineStr">
        <is>
          <t>Ni la forma de contratar ni la de pagar permiten mover valor de forma anónima.</t>
        </is>
      </c>
      <c r="H105" s="444" t="inlineStr">
        <is>
          <t>bandera</t>
        </is>
      </c>
    </row>
    <row r="106" ht="18.75" customHeight="1" s="225">
      <c r="A106" s="264">
        <f>B106&amp;"-"&amp;C106</f>
        <v/>
      </c>
      <c r="B106" s="442" t="inlineStr">
        <is>
          <t>IV - Préstamos o créditos</t>
        </is>
      </c>
      <c r="C106" s="443" t="n">
        <v>1</v>
      </c>
      <c r="D106" s="264" t="inlineStr">
        <is>
          <t>Valor unitario de la operación</t>
        </is>
      </c>
      <c r="E106" s="264" t="inlineStr">
        <is>
          <t>El crédito otorgado tiene un valor unitario muy por encima del ticket promedio de tu operación de doce meses.</t>
        </is>
      </c>
      <c r="F106" s="264" t="inlineStr">
        <is>
          <t>El crédito otorgado tiene un valor unitario dentro del rango habitual de tu operación.</t>
        </is>
      </c>
      <c r="G106" s="264" t="inlineStr">
        <is>
          <t>El crédito otorgado tiene un valor unitario por debajo de tu ticket promedio.</t>
        </is>
      </c>
      <c r="H106" s="444" t="inlineStr">
        <is>
          <t>calculado</t>
        </is>
      </c>
    </row>
    <row r="107" ht="18.75" customHeight="1" s="225">
      <c r="A107" s="264">
        <f>B107&amp;"-"&amp;C107</f>
        <v/>
      </c>
      <c r="B107" s="442" t="inlineStr">
        <is>
          <t>IV - Préstamos o créditos</t>
        </is>
      </c>
      <c r="C107" s="443" t="n">
        <v>2</v>
      </c>
      <c r="D107" s="264" t="inlineStr">
        <is>
          <t>Liquidez: facilidad de convertir en dinero</t>
        </is>
      </c>
      <c r="E107" s="264" t="inlineStr">
        <is>
          <t>El crédito otorgado puede revenderse o cederse de inmediato y prácticamente a su valor íntegro.</t>
        </is>
      </c>
      <c r="F107" s="264" t="inlineStr">
        <is>
          <t>El crédito otorgado puede revenderse, pero con trámite, plazo o pérdida de valor apreciable.</t>
        </is>
      </c>
      <c r="G107" s="264" t="inlineStr">
        <is>
          <t>El crédito otorgado es difícil de revender: exige formalidades o registro, o pierde valor de forma significativa.</t>
        </is>
      </c>
      <c r="H107" s="444" t="inlineStr">
        <is>
          <t>bandera</t>
        </is>
      </c>
    </row>
    <row r="108" ht="18.75" customHeight="1" s="225">
      <c r="A108" s="264">
        <f>B108&amp;"-"&amp;C108</f>
        <v/>
      </c>
      <c r="B108" s="442" t="inlineStr">
        <is>
          <t>IV - Préstamos o créditos</t>
        </is>
      </c>
      <c r="C108" s="443" t="n">
        <v>3</v>
      </c>
      <c r="D108" s="264" t="inlineStr">
        <is>
          <t>Anonimato: si el beneficiario queda a la vista</t>
        </is>
      </c>
      <c r="E108" s="264" t="inlineStr">
        <is>
          <t>El otorgamiento o el pago del crédito admite que quien aparece no sea quien recibe el beneficio, sin que quede registro de quién es el beneficiario final.</t>
        </is>
      </c>
      <c r="F108" s="264" t="inlineStr">
        <is>
          <t>Se identifica a el acreditado, pero el beneficiario final se declara sin documento que lo respalde.</t>
        </is>
      </c>
      <c r="G108" s="264" t="inlineStr">
        <is>
          <t>El acreditado y el beneficiario final coinciden, y ambos constan en el expediente.</t>
        </is>
      </c>
      <c r="H108" s="444" t="inlineStr">
        <is>
          <t>bandera</t>
        </is>
      </c>
    </row>
    <row r="109" ht="18.75" customHeight="1" s="225">
      <c r="A109" s="264">
        <f>B109&amp;"-"&amp;C109</f>
        <v/>
      </c>
      <c r="B109" s="442" t="inlineStr">
        <is>
          <t>IV - Préstamos o créditos</t>
        </is>
      </c>
      <c r="C109" s="443" t="n">
        <v>4</v>
      </c>
      <c r="D109" s="264" t="inlineStr">
        <is>
          <t>Ocultamiento de valor en el precio</t>
        </is>
      </c>
      <c r="E109" s="264" t="inlineStr">
        <is>
          <t>El otorgamiento o el pago del crédito admite sobrevaluar, subvaluar o fraccionar el precio sin que la contabilidad lo refleje.</t>
        </is>
      </c>
      <c r="F109" s="264" t="inlineStr">
        <is>
          <t>El precio se aparta del valor de referencia, pero existe explicación documentada de la diferencia.</t>
        </is>
      </c>
      <c r="G109" s="264" t="inlineStr">
        <is>
          <t>El precio corresponde al valor de referencia y queda registrado en la contabilidad.</t>
        </is>
      </c>
      <c r="H109" s="444" t="inlineStr">
        <is>
          <t>bandera</t>
        </is>
      </c>
    </row>
    <row r="110" ht="18.75" customHeight="1" s="225">
      <c r="A110" s="264">
        <f>B110&amp;"-"&amp;C110</f>
        <v/>
      </c>
      <c r="B110" s="442" t="inlineStr">
        <is>
          <t>IV - Préstamos o créditos</t>
        </is>
      </c>
      <c r="C110" s="443" t="n">
        <v>5</v>
      </c>
      <c r="D110" s="264" t="inlineStr">
        <is>
          <t>Exposición a personas señaladas por terrorismo</t>
        </is>
      </c>
      <c r="E110" s="264" t="inlineStr">
        <is>
          <t>El acreditado, su beneficiario o su contraparte aparece en listas de sanciones o de organizaciones terroristas.</t>
        </is>
      </c>
      <c r="F110" s="264" t="inlineStr">
        <is>
          <t>Existe un vínculo indirecto —contraparte, domicilio o ruta de los fondos— con una jurisdicción en conflicto o de acción requerida.</t>
        </is>
      </c>
      <c r="G110" s="264" t="inlineStr">
        <is>
          <t>Sin coincidencias ni vínculos con esas listas ni con jurisdicciones en conflicto, con búsqueda documentada.</t>
        </is>
      </c>
      <c r="H110" s="444" t="inlineStr">
        <is>
          <t>campo</t>
        </is>
      </c>
    </row>
    <row r="111" ht="18.75" customHeight="1" s="225">
      <c r="A111" s="264">
        <f>B111&amp;"-"&amp;C111</f>
        <v/>
      </c>
      <c r="B111" s="442" t="inlineStr">
        <is>
          <t>IV - Préstamos o créditos</t>
        </is>
      </c>
      <c r="C111" s="443" t="n">
        <v>6</v>
      </c>
      <c r="D111" s="264" t="inlineStr">
        <is>
          <t>Tipo de persona</t>
        </is>
      </c>
      <c r="E111" s="264" t="inlineStr">
        <is>
          <t>El acreditado es un fideicomiso u otro vehículo sin personalidad jurídica propia. No hay un titular único: la figura permite que quien recibe el crédito y quien lo paga sean personas distintas y que ninguna aparezca en el contrato.</t>
        </is>
      </c>
      <c r="F111" s="264" t="inlineStr">
        <is>
          <t>El acreditado es persona moral. La voluntad se forma en órganos y la propiedad está en socios, así que hay que llegar al Beneficiario Controlador para saber quién está realmente detrás.</t>
        </is>
      </c>
      <c r="G111" s="264" t="inlineStr">
        <is>
          <t>El acreditado es persona física. Coincide quien recibe el crédito y quien lo paga, y la identificación es directa contra un solo expediente.</t>
        </is>
      </c>
      <c r="H111" s="444" t="inlineStr">
        <is>
          <t>campo</t>
        </is>
      </c>
    </row>
    <row r="112" ht="18.75" customHeight="1" s="225">
      <c r="A112" s="264">
        <f>B112&amp;"-"&amp;C112</f>
        <v/>
      </c>
      <c r="B112" s="442" t="inlineStr">
        <is>
          <t>IV - Préstamos o créditos</t>
        </is>
      </c>
      <c r="C112" s="443" t="n">
        <v>7</v>
      </c>
      <c r="D112" s="264" t="inlineStr">
        <is>
          <t>Antigüedad del Cliente</t>
        </is>
      </c>
      <c r="E112" s="264" t="inlineStr">
        <is>
          <t>Persona moral constituida hace menos de dos años, o persona física menor de veintitrés años.</t>
        </is>
      </c>
      <c r="F112" s="264" t="inlineStr">
        <is>
          <t>Persona moral constituida hace entre dos y cinco años.</t>
        </is>
      </c>
      <c r="G112" s="264" t="inlineStr">
        <is>
          <t>Persona moral con más de cinco años de constituida, o persona física de veintitrés años en adelante.</t>
        </is>
      </c>
      <c r="H112" s="444" t="inlineStr">
        <is>
          <t>campo</t>
        </is>
      </c>
    </row>
    <row r="113" ht="18.75" customHeight="1" s="225">
      <c r="A113" s="264">
        <f>B113&amp;"-"&amp;C113</f>
        <v/>
      </c>
      <c r="B113" s="442" t="inlineStr">
        <is>
          <t>IV - Préstamos o créditos</t>
        </is>
      </c>
      <c r="C113" s="443" t="n">
        <v>8</v>
      </c>
      <c r="D113" s="264" t="inlineStr">
        <is>
          <t>Giro o actividad declarada</t>
        </is>
      </c>
      <c r="E113" s="264" t="inlineStr">
        <is>
          <t>El giro que declara el acreditado es a su vez una Actividad Vulnerable del artículo 17, o no se acredita con documento alguno.</t>
        </is>
      </c>
      <c r="F113" s="264" t="inlineStr">
        <is>
          <t>El giro se declara y se acredita sólo de forma parcial.</t>
        </is>
      </c>
      <c r="G113" s="264" t="inlineStr">
        <is>
          <t>El giro se acredita con documento: constancia de situación fiscal, acta constitutiva o comprobante de empleo.</t>
        </is>
      </c>
      <c r="H113" s="444" t="inlineStr">
        <is>
          <t>campo</t>
        </is>
      </c>
    </row>
    <row r="114" ht="18.75" customHeight="1" s="225">
      <c r="A114" s="264">
        <f>B114&amp;"-"&amp;C114</f>
        <v/>
      </c>
      <c r="B114" s="442" t="inlineStr">
        <is>
          <t>IV - Préstamos o créditos</t>
        </is>
      </c>
      <c r="C114" s="443" t="n">
        <v>9</v>
      </c>
      <c r="D114" s="264" t="inlineStr">
        <is>
          <t>Nacionalidad</t>
        </is>
      </c>
      <c r="E114" s="264" t="inlineStr">
        <is>
          <t>Nacionalidad de país o jurisdicción señalada por la UIF, o no determinada.</t>
        </is>
      </c>
      <c r="F114" s="264" t="inlineStr">
        <is>
          <t>Nacionalidad extranjera de país sin señalamiento.</t>
        </is>
      </c>
      <c r="G114" s="264" t="inlineStr">
        <is>
          <t>Nacionalidad mexicana.</t>
        </is>
      </c>
      <c r="H114" s="444" t="inlineStr">
        <is>
          <t>campo</t>
        </is>
      </c>
    </row>
    <row r="115" ht="18.75" customHeight="1" s="225">
      <c r="A115" s="264">
        <f>B115&amp;"-"&amp;C115</f>
        <v/>
      </c>
      <c r="B115" s="442" t="inlineStr">
        <is>
          <t>IV - Préstamos o créditos</t>
        </is>
      </c>
      <c r="C115" s="443" t="n">
        <v>10</v>
      </c>
      <c r="D115" s="264" t="inlineStr">
        <is>
          <t>País y entidad de residencia</t>
        </is>
      </c>
      <c r="E115" s="264" t="inlineStr">
        <is>
          <t>Residencia en jurisdicción de régimen fiscal preferente o señalada por deficiencias, o domicilio no verificable.</t>
        </is>
      </c>
      <c r="F115" s="264" t="inlineStr">
        <is>
          <t>Residencia en el extranjero sin señalamiento, o en entidad federativa señalada en la ENR.</t>
        </is>
      </c>
      <c r="G115" s="264" t="inlineStr">
        <is>
          <t>Residencia en México, en entidad federativa sin señalamiento en la ENR.</t>
        </is>
      </c>
      <c r="H115" s="444" t="inlineStr">
        <is>
          <t>campo</t>
        </is>
      </c>
    </row>
    <row r="116" ht="18.75" customHeight="1" s="225">
      <c r="A116" s="264">
        <f>B116&amp;"-"&amp;C116</f>
        <v/>
      </c>
      <c r="B116" s="442" t="inlineStr">
        <is>
          <t>IV - Préstamos o créditos</t>
        </is>
      </c>
      <c r="C116" s="443" t="n">
        <v>11</v>
      </c>
      <c r="D116" s="264" t="inlineStr">
        <is>
          <t>Condición de Persona Políticamente Expuesta</t>
        </is>
      </c>
      <c r="E116" s="264" t="inlineStr">
        <is>
          <t>Persona Políticamente Expuesta extranjera, o nacional cuyo comportamiento transaccional no corresponde con sus ingresos y funciones.</t>
        </is>
      </c>
      <c r="F116" s="264" t="inlineStr">
        <is>
          <t>Persona Políticamente Expuesta nacional con comportamiento congruente, o familiar o allegado de una.</t>
        </is>
      </c>
      <c r="G116" s="264" t="inlineStr">
        <is>
          <t>Sin condición de Persona Políticamente Expuesta, con búsqueda documentada.</t>
        </is>
      </c>
      <c r="H116" s="444" t="inlineStr">
        <is>
          <t>campo</t>
        </is>
      </c>
    </row>
    <row r="117" ht="18.75" customHeight="1" s="225">
      <c r="A117" s="264">
        <f>B117&amp;"-"&amp;C117</f>
        <v/>
      </c>
      <c r="B117" s="442" t="inlineStr">
        <is>
          <t>IV - Préstamos o créditos</t>
        </is>
      </c>
      <c r="C117" s="443" t="n">
        <v>12</v>
      </c>
      <c r="D117" s="264" t="inlineStr">
        <is>
          <t>Resultado de la búsqueda en listas</t>
        </is>
      </c>
      <c r="E117" s="264" t="inlineStr">
        <is>
          <t>Coincidencia positiva en listas de personas bloqueadas o de sanciones, o búsqueda no realizada o sin constancia.</t>
        </is>
      </c>
      <c r="F117" s="264" t="inlineStr">
        <is>
          <t>Coincidencia descartada por homonimia acreditada, con constancia.</t>
        </is>
      </c>
      <c r="G117" s="264" t="inlineStr">
        <is>
          <t>Sin coincidencia, con constancia de la búsqueda y su fecha.</t>
        </is>
      </c>
      <c r="H117" s="444" t="inlineStr">
        <is>
          <t>campo</t>
        </is>
      </c>
    </row>
    <row r="118" ht="18.75" customHeight="1" s="225">
      <c r="A118" s="264">
        <f>B118&amp;"-"&amp;C118</f>
        <v/>
      </c>
      <c r="B118" s="442" t="inlineStr">
        <is>
          <t>IV - Préstamos o créditos</t>
        </is>
      </c>
      <c r="C118" s="443" t="n">
        <v>13</v>
      </c>
      <c r="D118" s="264" t="inlineStr">
        <is>
          <t>Profundidad de la cadena de control</t>
        </is>
      </c>
      <c r="E118" s="264" t="inlineStr">
        <is>
          <t>No se logra identificar al Beneficiario Controlador de el acreditado, o la cadena no es acreditable.</t>
        </is>
      </c>
      <c r="F118" s="264" t="inlineStr">
        <is>
          <t>El Beneficiario Controlador se identifica atravesando dos o más niveles societarios o fiduciarios.</t>
        </is>
      </c>
      <c r="G118" s="264" t="inlineStr">
        <is>
          <t>El Beneficiario Controlador se identifica en un solo nivel, o el acreditado es su propio beneficiario.</t>
        </is>
      </c>
      <c r="H118" s="444" t="inlineStr">
        <is>
          <t>calculado</t>
        </is>
      </c>
    </row>
    <row r="119" ht="18.75" customHeight="1" s="225">
      <c r="A119" s="264">
        <f>B119&amp;"-"&amp;C119</f>
        <v/>
      </c>
      <c r="B119" s="442" t="inlineStr">
        <is>
          <t>IV - Préstamos o créditos</t>
        </is>
      </c>
      <c r="C119" s="443" t="n">
        <v>14</v>
      </c>
      <c r="D119" s="264" t="inlineStr">
        <is>
          <t>País donde se realiza la operación</t>
        </is>
      </c>
      <c r="E119" s="264" t="inlineStr">
        <is>
          <t>El otorgamiento o el pago del crédito se pacta con o desde una jurisdicción de alto riesgo o no cooperante.</t>
        </is>
      </c>
      <c r="F119" s="264" t="inlineStr">
        <is>
          <t>El otorgamiento o el pago del crédito se pacta con una jurisdicción extranjera sin señalamiento.</t>
        </is>
      </c>
      <c r="G119" s="264" t="inlineStr">
        <is>
          <t>El otorgamiento o el pago del crédito se realiza íntegramente en México.</t>
        </is>
      </c>
      <c r="H119" s="444" t="inlineStr">
        <is>
          <t>campo</t>
        </is>
      </c>
    </row>
    <row r="120" ht="18.75" customHeight="1" s="225">
      <c r="A120" s="264">
        <f>B120&amp;"-"&amp;C120</f>
        <v/>
      </c>
      <c r="B120" s="442" t="inlineStr">
        <is>
          <t>IV - Préstamos o créditos</t>
        </is>
      </c>
      <c r="C120" s="443" t="n">
        <v>15</v>
      </c>
      <c r="D120" s="264" t="inlineStr">
        <is>
          <t>Entidad o municipio de la operación</t>
        </is>
      </c>
      <c r="E120" s="264" t="inlineStr">
        <is>
          <t>El otorgamiento o el pago del crédito ocurre en un municipio o zona identificada de alto riesgo.</t>
        </is>
      </c>
      <c r="F120" s="264" t="inlineStr">
        <is>
          <t>El otorgamiento o el pago del crédito ocurre en una entidad federativa con señalamiento en la ENR.</t>
        </is>
      </c>
      <c r="G120" s="264" t="inlineStr">
        <is>
          <t>El otorgamiento o el pago del crédito ocurre en una entidad federativa sin señalamiento en la ENR.</t>
        </is>
      </c>
      <c r="H120" s="444" t="inlineStr">
        <is>
          <t>campo</t>
        </is>
      </c>
    </row>
    <row r="121" ht="18.75" customHeight="1" s="225">
      <c r="A121" s="264">
        <f>B121&amp;"-"&amp;C121</f>
        <v/>
      </c>
      <c r="B121" s="442" t="inlineStr">
        <is>
          <t>IV - Préstamos o créditos</t>
        </is>
      </c>
      <c r="C121" s="443" t="n">
        <v>16</v>
      </c>
      <c r="D121" s="264" t="inlineStr">
        <is>
          <t>Vínculo con jurisdicción sancionada o de acción requerida</t>
        </is>
      </c>
      <c r="E121" s="264" t="inlineStr">
        <is>
          <t>Hay exposición directa a una jurisdicción sancionada, en conflicto armado o de acción requerida del GAFI.</t>
        </is>
      </c>
      <c r="F121" s="264" t="inlineStr">
        <is>
          <t>La exposición es indirecta: una contraparte o la ruta de los fondos toca esa jurisdicción.</t>
        </is>
      </c>
      <c r="G121" s="264" t="inlineStr">
        <is>
          <t>Sin exposición a jurisdicciones sancionadas, en conflicto ni de acción requerida.</t>
        </is>
      </c>
      <c r="H121" s="444" t="inlineStr">
        <is>
          <t>campo</t>
        </is>
      </c>
    </row>
    <row r="122" ht="18.75" customHeight="1" s="225">
      <c r="A122" s="264">
        <f>B122&amp;"-"&amp;C122</f>
        <v/>
      </c>
      <c r="B122" s="442" t="inlineStr">
        <is>
          <t>IV - Préstamos o créditos</t>
        </is>
      </c>
      <c r="C122" s="443" t="n">
        <v>17</v>
      </c>
      <c r="D122" s="264" t="inlineStr">
        <is>
          <t>Coincidencia entre domicilio y lugar de la operación</t>
        </is>
      </c>
      <c r="E122" s="264" t="inlineStr">
        <is>
          <t>El domicilio de el acreditado y el lugar de el otorgamiento o el pago del crédito no coinciden, y no hay explicación documentada.</t>
        </is>
      </c>
      <c r="F122" s="264" t="inlineStr">
        <is>
          <t>No coinciden, pero consta por escrito la razón de operar en ese lugar.</t>
        </is>
      </c>
      <c r="G122" s="264" t="inlineStr">
        <is>
          <t>El domicilio de el acreditado y el lugar de el otorgamiento o el pago del crédito coinciden.</t>
        </is>
      </c>
      <c r="H122" s="444" t="inlineStr">
        <is>
          <t>calculado</t>
        </is>
      </c>
    </row>
    <row r="123" ht="18.75" customHeight="1" s="225">
      <c r="A123" s="264">
        <f>B123&amp;"-"&amp;C123</f>
        <v/>
      </c>
      <c r="B123" s="442" t="inlineStr">
        <is>
          <t>IV - Préstamos o créditos</t>
        </is>
      </c>
      <c r="C123" s="443" t="n">
        <v>18</v>
      </c>
      <c r="D123" s="264" t="inlineStr">
        <is>
          <t>Instrumento con que se paga</t>
        </is>
      </c>
      <c r="E123" s="264" t="inlineStr">
        <is>
          <t>Efectivo por encima de tu umbral interno, instrumento al portador, o pago en especie.</t>
        </is>
      </c>
      <c r="F123" s="264" t="inlineStr">
        <is>
          <t>Pago mixto, con un componente en efectivo por debajo de tu umbral interno.</t>
        </is>
      </c>
      <c r="G123" s="264" t="inlineStr">
        <is>
          <t>Transferencia electrónica o cheque nominativo desde una cuenta a nombre de el acreditado.</t>
        </is>
      </c>
      <c r="H123" s="444" t="inlineStr">
        <is>
          <t>campo</t>
        </is>
      </c>
    </row>
    <row r="124" ht="18.75" customHeight="1" s="225">
      <c r="A124" s="264">
        <f>B124&amp;"-"&amp;C124</f>
        <v/>
      </c>
      <c r="B124" s="442" t="inlineStr">
        <is>
          <t>IV - Préstamos o créditos</t>
        </is>
      </c>
      <c r="C124" s="443" t="n">
        <v>19</v>
      </c>
      <c r="D124" s="264" t="inlineStr">
        <is>
          <t>Moneda de la operación</t>
        </is>
      </c>
      <c r="E124" s="264" t="inlineStr">
        <is>
          <t>Divisa distinta del dólar estadounidense y del euro, o activo virtual.</t>
        </is>
      </c>
      <c r="F124" s="264" t="inlineStr">
        <is>
          <t>Dólar estadounidense o euro, con soporte documental.</t>
        </is>
      </c>
      <c r="G124" s="264" t="inlineStr">
        <is>
          <t>Peso mexicano.</t>
        </is>
      </c>
      <c r="H124" s="444" t="inlineStr">
        <is>
          <t>campo</t>
        </is>
      </c>
    </row>
    <row r="125" ht="18.75" customHeight="1" s="225">
      <c r="A125" s="264">
        <f>B125&amp;"-"&amp;C125</f>
        <v/>
      </c>
      <c r="B125" s="442" t="inlineStr">
        <is>
          <t>IV - Préstamos o créditos</t>
        </is>
      </c>
      <c r="C125" s="443" t="n">
        <v>20</v>
      </c>
      <c r="D125" s="264" t="inlineStr">
        <is>
          <t>Monto frente al umbral de tu fracción</t>
        </is>
      </c>
      <c r="E125" s="264" t="inlineStr">
        <is>
          <t>El otorgamiento o el pago del crédito iguala o supera el umbral de Aviso de tu fracción del artículo 17.</t>
        </is>
      </c>
      <c r="F125" s="264" t="inlineStr">
        <is>
          <t>El otorgamiento o el pago del crédito se sitúa entre el umbral de identificación y el de Aviso.</t>
        </is>
      </c>
      <c r="G125" s="264" t="inlineStr">
        <is>
          <t>El otorgamiento o el pago del crédito queda por debajo del umbral de identificación.</t>
        </is>
      </c>
      <c r="H125" s="444" t="inlineStr">
        <is>
          <t>calculado</t>
        </is>
      </c>
    </row>
    <row r="126" ht="18.75" customHeight="1" s="225">
      <c r="A126" s="264">
        <f>B126&amp;"-"&amp;C126</f>
        <v/>
      </c>
      <c r="B126" s="442" t="inlineStr">
        <is>
          <t>IV - Préstamos o créditos</t>
        </is>
      </c>
      <c r="C126" s="443" t="n">
        <v>21</v>
      </c>
      <c r="D126" s="264" t="inlineStr">
        <is>
          <t>Número y ritmo de operaciones en el periodo</t>
        </is>
      </c>
      <c r="E126" s="264" t="inlineStr">
        <is>
          <t>El acreditado realiza cinco o más operaciones al año, o varias en intervalos cortos y regulares.</t>
        </is>
      </c>
      <c r="F126" s="264" t="inlineStr">
        <is>
          <t>El acreditado realiza entre dos y cuatro operaciones al año.</t>
        </is>
      </c>
      <c r="G126" s="264" t="inlineStr">
        <is>
          <t>El acreditado realiza una sola operación en el periodo.</t>
        </is>
      </c>
      <c r="H126" s="444" t="inlineStr">
        <is>
          <t>calculado</t>
        </is>
      </c>
    </row>
    <row r="127" ht="18.75" customHeight="1" s="225">
      <c r="A127" s="264">
        <f>B127&amp;"-"&amp;C127</f>
        <v/>
      </c>
      <c r="B127" s="442" t="inlineStr">
        <is>
          <t>IV - Préstamos o créditos</t>
        </is>
      </c>
      <c r="C127" s="443" t="n">
        <v>22</v>
      </c>
      <c r="D127" s="264" t="inlineStr">
        <is>
          <t>Canal: certeza de identificación del Cliente</t>
        </is>
      </c>
      <c r="E127" s="264" t="inlineStr">
        <is>
          <t>La operación llega por un gestor, plataforma o intermediario no acreditado: nadie responde por la identificación de el acreditado, y quien opera puede no ser quien dice ser.</t>
        </is>
      </c>
      <c r="F127" s="264" t="inlineStr">
        <is>
          <t>Se identifica a el acreditado de forma remota con verificación documental, o a través de un promotor o representante propio con contrato y responsable señalado.</t>
        </is>
      </c>
      <c r="G127" s="264" t="inlineStr">
        <is>
          <t>El acreditado comparece de forma directa, o se le identifica en remoto con biometría y prueba de vida.</t>
        </is>
      </c>
      <c r="H127" s="444" t="inlineStr">
        <is>
          <t>campo</t>
        </is>
      </c>
    </row>
    <row r="128" ht="18.75" customHeight="1" s="225">
      <c r="A128" s="264">
        <f>B128&amp;"-"&amp;C128</f>
        <v/>
      </c>
      <c r="B128" s="442" t="inlineStr">
        <is>
          <t>IV - Préstamos o créditos</t>
        </is>
      </c>
      <c r="C128" s="443" t="n">
        <v>23</v>
      </c>
      <c r="D128" s="264" t="inlineStr">
        <is>
          <t>Acreditación del origen de los recursos</t>
        </is>
      </c>
      <c r="E128" s="264" t="inlineStr">
        <is>
          <t>El origen de los recursos se declara sin soporte documental, o no se manifiesta.</t>
        </is>
      </c>
      <c r="F128" s="264" t="inlineStr">
        <is>
          <t>El origen se declara y se acredita sólo de forma parcial.</t>
        </is>
      </c>
      <c r="G128" s="264" t="inlineStr">
        <is>
          <t>El origen se acredita con documentación verificable.</t>
        </is>
      </c>
      <c r="H128" s="444" t="inlineStr">
        <is>
          <t>bandera</t>
        </is>
      </c>
    </row>
    <row r="129" ht="18.75" customHeight="1" s="225">
      <c r="A129" s="264">
        <f>B129&amp;"-"&amp;C129</f>
        <v/>
      </c>
      <c r="B129" s="442" t="inlineStr">
        <is>
          <t>IV - Préstamos o créditos</t>
        </is>
      </c>
      <c r="C129" s="443" t="n">
        <v>24</v>
      </c>
      <c r="D129" s="264" t="inlineStr">
        <is>
          <t>Acreditación del destino de los recursos o del bien</t>
        </is>
      </c>
      <c r="E129" s="264" t="inlineStr">
        <is>
          <t>El destino no se manifiesta, o los recursos o el crédito otorgado pasan a un tercero no relacionado con el acreditado.</t>
        </is>
      </c>
      <c r="F129" s="264" t="inlineStr">
        <is>
          <t>El destino se declara y es verificable.</t>
        </is>
      </c>
      <c r="G129" s="264" t="inlineStr">
        <is>
          <t>El destino es el crédito otorgado mismo, y queda registrado en la operación.</t>
        </is>
      </c>
      <c r="H129" s="444" t="inlineStr">
        <is>
          <t>bandera</t>
        </is>
      </c>
    </row>
    <row r="130" ht="18.75" customHeight="1" s="225">
      <c r="A130" s="264">
        <f>B130&amp;"-"&amp;C130</f>
        <v/>
      </c>
      <c r="B130" s="442" t="inlineStr">
        <is>
          <t>IV - Préstamos o créditos</t>
        </is>
      </c>
      <c r="C130" s="443" t="n">
        <v>25</v>
      </c>
      <c r="D130" s="264" t="inlineStr">
        <is>
          <t>Combinación de canal e instrumento idónea para el financiamiento al terrorismo</t>
        </is>
      </c>
      <c r="E130" s="264" t="inlineStr">
        <is>
          <t>El otorgamiento o el pago del crédito combina contratación a distancia sin verificación reforzada con pagos en efectivo o instrumentos al portador.</t>
        </is>
      </c>
      <c r="F130" s="264" t="inlineStr">
        <is>
          <t>Concurre uno solo de los dos: o la contratación remota sin verificación reforzada, o el pago en instrumento no bancarizado.</t>
        </is>
      </c>
      <c r="G130" s="264" t="inlineStr">
        <is>
          <t>Ni la forma de contratar ni la de pagar permiten mover valor de forma anónima.</t>
        </is>
      </c>
      <c r="H130" s="444" t="inlineStr">
        <is>
          <t>bandera</t>
        </is>
      </c>
    </row>
    <row r="131" ht="18.75" customHeight="1" s="225">
      <c r="A131" s="264">
        <f>B131&amp;"-"&amp;C131</f>
        <v/>
      </c>
      <c r="B131" s="442" t="inlineStr">
        <is>
          <t>V - Construcción/comercialización inmuebles</t>
        </is>
      </c>
      <c r="C131" s="443" t="n">
        <v>1</v>
      </c>
      <c r="D131" s="264" t="inlineStr">
        <is>
          <t>Valor unitario de la operación</t>
        </is>
      </c>
      <c r="E131" s="264" t="inlineStr">
        <is>
          <t>El inmueble tiene un valor unitario muy por encima del ticket promedio de tu operación de doce meses.</t>
        </is>
      </c>
      <c r="F131" s="264" t="inlineStr">
        <is>
          <t>El inmueble tiene un valor unitario dentro del rango habitual de tu operación.</t>
        </is>
      </c>
      <c r="G131" s="264" t="inlineStr">
        <is>
          <t>El inmueble tiene un valor unitario por debajo de tu ticket promedio.</t>
        </is>
      </c>
      <c r="H131" s="444" t="inlineStr">
        <is>
          <t>calculado</t>
        </is>
      </c>
    </row>
    <row r="132" ht="18.75" customHeight="1" s="225">
      <c r="A132" s="264">
        <f>B132&amp;"-"&amp;C132</f>
        <v/>
      </c>
      <c r="B132" s="442" t="inlineStr">
        <is>
          <t>V - Construcción/comercialización inmuebles</t>
        </is>
      </c>
      <c r="C132" s="443" t="n">
        <v>2</v>
      </c>
      <c r="D132" s="264" t="inlineStr">
        <is>
          <t>Liquidez: facilidad de convertir en dinero</t>
        </is>
      </c>
      <c r="E132" s="264" t="inlineStr">
        <is>
          <t>El inmueble puede revenderse o cederse de inmediato y prácticamente a su valor íntegro.</t>
        </is>
      </c>
      <c r="F132" s="264" t="inlineStr">
        <is>
          <t>El inmueble puede revenderse, pero con trámite, plazo o pérdida de valor apreciable.</t>
        </is>
      </c>
      <c r="G132" s="264" t="inlineStr">
        <is>
          <t>El inmueble es difícil de revender: exige formalidades o registro, o pierde valor de forma significativa.</t>
        </is>
      </c>
      <c r="H132" s="444" t="inlineStr">
        <is>
          <t>bandera</t>
        </is>
      </c>
    </row>
    <row r="133" ht="18.75" customHeight="1" s="225">
      <c r="A133" s="264">
        <f>B133&amp;"-"&amp;C133</f>
        <v/>
      </c>
      <c r="B133" s="442" t="inlineStr">
        <is>
          <t>V - Construcción/comercialización inmuebles</t>
        </is>
      </c>
      <c r="C133" s="443" t="n">
        <v>3</v>
      </c>
      <c r="D133" s="264" t="inlineStr">
        <is>
          <t>Anonimato: si el beneficiario queda a la vista</t>
        </is>
      </c>
      <c r="E133" s="264" t="inlineStr">
        <is>
          <t>La compraventa del inmueble admite que quien aparece no sea quien recibe el beneficio, sin que quede registro de quién es el beneficiario final.</t>
        </is>
      </c>
      <c r="F133" s="264" t="inlineStr">
        <is>
          <t>Se identifica a el comprador, pero el beneficiario final se declara sin documento que lo respalde.</t>
        </is>
      </c>
      <c r="G133" s="264" t="inlineStr">
        <is>
          <t>El comprador y el beneficiario final coinciden, y ambos constan en el expediente.</t>
        </is>
      </c>
      <c r="H133" s="444" t="inlineStr">
        <is>
          <t>bandera</t>
        </is>
      </c>
    </row>
    <row r="134" ht="18.75" customHeight="1" s="225">
      <c r="A134" s="264">
        <f>B134&amp;"-"&amp;C134</f>
        <v/>
      </c>
      <c r="B134" s="442" t="inlineStr">
        <is>
          <t>V - Construcción/comercialización inmuebles</t>
        </is>
      </c>
      <c r="C134" s="443" t="n">
        <v>4</v>
      </c>
      <c r="D134" s="264" t="inlineStr">
        <is>
          <t>Ocultamiento de valor en el precio</t>
        </is>
      </c>
      <c r="E134" s="264" t="inlineStr">
        <is>
          <t>La compraventa del inmueble admite sobrevaluar, subvaluar o fraccionar el precio sin que la contabilidad lo refleje.</t>
        </is>
      </c>
      <c r="F134" s="264" t="inlineStr">
        <is>
          <t>El precio se aparta del valor de referencia, pero existe explicación documentada de la diferencia.</t>
        </is>
      </c>
      <c r="G134" s="264" t="inlineStr">
        <is>
          <t>El precio corresponde al valor de referencia y queda registrado en la contabilidad.</t>
        </is>
      </c>
      <c r="H134" s="444" t="inlineStr">
        <is>
          <t>bandera</t>
        </is>
      </c>
    </row>
    <row r="135" ht="18.75" customHeight="1" s="225">
      <c r="A135" s="264">
        <f>B135&amp;"-"&amp;C135</f>
        <v/>
      </c>
      <c r="B135" s="442" t="inlineStr">
        <is>
          <t>V - Construcción/comercialización inmuebles</t>
        </is>
      </c>
      <c r="C135" s="443" t="n">
        <v>5</v>
      </c>
      <c r="D135" s="264" t="inlineStr">
        <is>
          <t>Exposición a personas señaladas por terrorismo</t>
        </is>
      </c>
      <c r="E135" s="264" t="inlineStr">
        <is>
          <t>El comprador, su beneficiario o su contraparte aparece en listas de sanciones o de organizaciones terroristas.</t>
        </is>
      </c>
      <c r="F135" s="264" t="inlineStr">
        <is>
          <t>Existe un vínculo indirecto —contraparte, domicilio o ruta de los fondos— con una jurisdicción en conflicto o de acción requerida.</t>
        </is>
      </c>
      <c r="G135" s="264" t="inlineStr">
        <is>
          <t>Sin coincidencias ni vínculos con esas listas ni con jurisdicciones en conflicto, con búsqueda documentada.</t>
        </is>
      </c>
      <c r="H135" s="444" t="inlineStr">
        <is>
          <t>campo</t>
        </is>
      </c>
    </row>
    <row r="136" ht="18.75" customHeight="1" s="225">
      <c r="A136" s="264">
        <f>B136&amp;"-"&amp;C136</f>
        <v/>
      </c>
      <c r="B136" s="442" t="inlineStr">
        <is>
          <t>V - Construcción/comercialización inmuebles</t>
        </is>
      </c>
      <c r="C136" s="443" t="n">
        <v>6</v>
      </c>
      <c r="D136" s="264" t="inlineStr">
        <is>
          <t>Tipo de persona</t>
        </is>
      </c>
      <c r="E136" s="264" t="inlineStr">
        <is>
          <t>El adquirente del inmueble es un fideicomiso u otro vehículo sin personalidad jurídica propia. No hay un titular único: la figura permite que quien compra y quien queda como dueño sean personas distintas y que ninguna aparezca en el contrato.</t>
        </is>
      </c>
      <c r="F136" s="264" t="inlineStr">
        <is>
          <t>El adquirente del inmueble es persona moral. La voluntad se forma en órganos y la propiedad está en socios, así que hay que llegar al Beneficiario Controlador para saber quién está realmente detrás.</t>
        </is>
      </c>
      <c r="G136" s="264" t="inlineStr">
        <is>
          <t>El adquirente del inmueble es persona física. Coincide quien compra y quien queda como dueño, y la identificación es directa contra un solo expediente.</t>
        </is>
      </c>
      <c r="H136" s="444" t="inlineStr">
        <is>
          <t>campo</t>
        </is>
      </c>
    </row>
    <row r="137" ht="18.75" customHeight="1" s="225">
      <c r="A137" s="264">
        <f>B137&amp;"-"&amp;C137</f>
        <v/>
      </c>
      <c r="B137" s="442" t="inlineStr">
        <is>
          <t>V - Construcción/comercialización inmuebles</t>
        </is>
      </c>
      <c r="C137" s="443" t="n">
        <v>7</v>
      </c>
      <c r="D137" s="264" t="inlineStr">
        <is>
          <t>Antigüedad del Cliente</t>
        </is>
      </c>
      <c r="E137" s="264" t="inlineStr">
        <is>
          <t>Persona moral constituida hace menos de dos años, o persona física menor de veintitrés años.</t>
        </is>
      </c>
      <c r="F137" s="264" t="inlineStr">
        <is>
          <t>Persona moral constituida hace entre dos y cinco años.</t>
        </is>
      </c>
      <c r="G137" s="264" t="inlineStr">
        <is>
          <t>Persona moral con más de cinco años de constituida, o persona física de veintitrés años en adelante.</t>
        </is>
      </c>
      <c r="H137" s="444" t="inlineStr">
        <is>
          <t>campo</t>
        </is>
      </c>
    </row>
    <row r="138" ht="18.75" customHeight="1" s="225">
      <c r="A138" s="264">
        <f>B138&amp;"-"&amp;C138</f>
        <v/>
      </c>
      <c r="B138" s="442" t="inlineStr">
        <is>
          <t>V - Construcción/comercialización inmuebles</t>
        </is>
      </c>
      <c r="C138" s="443" t="n">
        <v>8</v>
      </c>
      <c r="D138" s="264" t="inlineStr">
        <is>
          <t>Giro o actividad declarada</t>
        </is>
      </c>
      <c r="E138" s="264" t="inlineStr">
        <is>
          <t>El giro que declara el comprador es a su vez una Actividad Vulnerable del artículo 17, o no se acredita con documento alguno.</t>
        </is>
      </c>
      <c r="F138" s="264" t="inlineStr">
        <is>
          <t>El giro se declara y se acredita sólo de forma parcial.</t>
        </is>
      </c>
      <c r="G138" s="264" t="inlineStr">
        <is>
          <t>El giro se acredita con documento: constancia de situación fiscal, acta constitutiva o comprobante de empleo.</t>
        </is>
      </c>
      <c r="H138" s="444" t="inlineStr">
        <is>
          <t>campo</t>
        </is>
      </c>
    </row>
    <row r="139" ht="18.75" customHeight="1" s="225">
      <c r="A139" s="264">
        <f>B139&amp;"-"&amp;C139</f>
        <v/>
      </c>
      <c r="B139" s="442" t="inlineStr">
        <is>
          <t>V - Construcción/comercialización inmuebles</t>
        </is>
      </c>
      <c r="C139" s="443" t="n">
        <v>9</v>
      </c>
      <c r="D139" s="264" t="inlineStr">
        <is>
          <t>Nacionalidad</t>
        </is>
      </c>
      <c r="E139" s="264" t="inlineStr">
        <is>
          <t>Nacionalidad de país o jurisdicción señalada por la UIF, o no determinada.</t>
        </is>
      </c>
      <c r="F139" s="264" t="inlineStr">
        <is>
          <t>Nacionalidad extranjera de país sin señalamiento.</t>
        </is>
      </c>
      <c r="G139" s="264" t="inlineStr">
        <is>
          <t>Nacionalidad mexicana.</t>
        </is>
      </c>
      <c r="H139" s="444" t="inlineStr">
        <is>
          <t>campo</t>
        </is>
      </c>
    </row>
    <row r="140" ht="18.75" customHeight="1" s="225">
      <c r="A140" s="264">
        <f>B140&amp;"-"&amp;C140</f>
        <v/>
      </c>
      <c r="B140" s="442" t="inlineStr">
        <is>
          <t>V - Construcción/comercialización inmuebles</t>
        </is>
      </c>
      <c r="C140" s="443" t="n">
        <v>10</v>
      </c>
      <c r="D140" s="264" t="inlineStr">
        <is>
          <t>País y entidad de residencia</t>
        </is>
      </c>
      <c r="E140" s="264" t="inlineStr">
        <is>
          <t>Residencia en jurisdicción de régimen fiscal preferente o señalada por deficiencias, o domicilio no verificable.</t>
        </is>
      </c>
      <c r="F140" s="264" t="inlineStr">
        <is>
          <t>Residencia en el extranjero sin señalamiento, o en entidad federativa señalada en la ENR.</t>
        </is>
      </c>
      <c r="G140" s="264" t="inlineStr">
        <is>
          <t>Residencia en México, en entidad federativa sin señalamiento en la ENR.</t>
        </is>
      </c>
      <c r="H140" s="444" t="inlineStr">
        <is>
          <t>campo</t>
        </is>
      </c>
    </row>
    <row r="141" ht="18.75" customHeight="1" s="225">
      <c r="A141" s="264">
        <f>B141&amp;"-"&amp;C141</f>
        <v/>
      </c>
      <c r="B141" s="442" t="inlineStr">
        <is>
          <t>V - Construcción/comercialización inmuebles</t>
        </is>
      </c>
      <c r="C141" s="443" t="n">
        <v>11</v>
      </c>
      <c r="D141" s="264" t="inlineStr">
        <is>
          <t>Condición de Persona Políticamente Expuesta</t>
        </is>
      </c>
      <c r="E141" s="264" t="inlineStr">
        <is>
          <t>Persona Políticamente Expuesta extranjera, o nacional cuyo comportamiento transaccional no corresponde con sus ingresos y funciones.</t>
        </is>
      </c>
      <c r="F141" s="264" t="inlineStr">
        <is>
          <t>Persona Políticamente Expuesta nacional con comportamiento congruente, o familiar o allegado de una.</t>
        </is>
      </c>
      <c r="G141" s="264" t="inlineStr">
        <is>
          <t>Sin condición de Persona Políticamente Expuesta, con búsqueda documentada.</t>
        </is>
      </c>
      <c r="H141" s="444" t="inlineStr">
        <is>
          <t>campo</t>
        </is>
      </c>
    </row>
    <row r="142" ht="18.75" customHeight="1" s="225">
      <c r="A142" s="264">
        <f>B142&amp;"-"&amp;C142</f>
        <v/>
      </c>
      <c r="B142" s="442" t="inlineStr">
        <is>
          <t>V - Construcción/comercialización inmuebles</t>
        </is>
      </c>
      <c r="C142" s="443" t="n">
        <v>12</v>
      </c>
      <c r="D142" s="264" t="inlineStr">
        <is>
          <t>Resultado de la búsqueda en listas</t>
        </is>
      </c>
      <c r="E142" s="264" t="inlineStr">
        <is>
          <t>Coincidencia positiva en listas de personas bloqueadas o de sanciones, o búsqueda no realizada o sin constancia.</t>
        </is>
      </c>
      <c r="F142" s="264" t="inlineStr">
        <is>
          <t>Coincidencia descartada por homonimia acreditada, con constancia.</t>
        </is>
      </c>
      <c r="G142" s="264" t="inlineStr">
        <is>
          <t>Sin coincidencia, con constancia de la búsqueda y su fecha.</t>
        </is>
      </c>
      <c r="H142" s="444" t="inlineStr">
        <is>
          <t>campo</t>
        </is>
      </c>
    </row>
    <row r="143" ht="18.75" customHeight="1" s="225">
      <c r="A143" s="264">
        <f>B143&amp;"-"&amp;C143</f>
        <v/>
      </c>
      <c r="B143" s="442" t="inlineStr">
        <is>
          <t>V - Construcción/comercialización inmuebles</t>
        </is>
      </c>
      <c r="C143" s="443" t="n">
        <v>13</v>
      </c>
      <c r="D143" s="264" t="inlineStr">
        <is>
          <t>Profundidad de la cadena de control</t>
        </is>
      </c>
      <c r="E143" s="264" t="inlineStr">
        <is>
          <t>No se logra identificar al Beneficiario Controlador de el comprador, o la cadena no es acreditable.</t>
        </is>
      </c>
      <c r="F143" s="264" t="inlineStr">
        <is>
          <t>El Beneficiario Controlador se identifica atravesando dos o más niveles societarios o fiduciarios.</t>
        </is>
      </c>
      <c r="G143" s="264" t="inlineStr">
        <is>
          <t>El Beneficiario Controlador se identifica en un solo nivel, o el comprador es su propio beneficiario.</t>
        </is>
      </c>
      <c r="H143" s="444" t="inlineStr">
        <is>
          <t>calculado</t>
        </is>
      </c>
    </row>
    <row r="144" ht="18.75" customHeight="1" s="225">
      <c r="A144" s="264">
        <f>B144&amp;"-"&amp;C144</f>
        <v/>
      </c>
      <c r="B144" s="442" t="inlineStr">
        <is>
          <t>V - Construcción/comercialización inmuebles</t>
        </is>
      </c>
      <c r="C144" s="443" t="n">
        <v>14</v>
      </c>
      <c r="D144" s="264" t="inlineStr">
        <is>
          <t>País donde se realiza la operación</t>
        </is>
      </c>
      <c r="E144" s="264" t="inlineStr">
        <is>
          <t>La compraventa del inmueble se pacta con o desde una jurisdicción de alto riesgo o no cooperante.</t>
        </is>
      </c>
      <c r="F144" s="264" t="inlineStr">
        <is>
          <t>La compraventa del inmueble se pacta con una jurisdicción extranjera sin señalamiento.</t>
        </is>
      </c>
      <c r="G144" s="264" t="inlineStr">
        <is>
          <t>La compraventa del inmueble se realiza íntegramente en México.</t>
        </is>
      </c>
      <c r="H144" s="444" t="inlineStr">
        <is>
          <t>campo</t>
        </is>
      </c>
    </row>
    <row r="145" ht="18.75" customHeight="1" s="225">
      <c r="A145" s="264">
        <f>B145&amp;"-"&amp;C145</f>
        <v/>
      </c>
      <c r="B145" s="442" t="inlineStr">
        <is>
          <t>V - Construcción/comercialización inmuebles</t>
        </is>
      </c>
      <c r="C145" s="443" t="n">
        <v>15</v>
      </c>
      <c r="D145" s="264" t="inlineStr">
        <is>
          <t>Entidad o municipio de la operación</t>
        </is>
      </c>
      <c r="E145" s="264" t="inlineStr">
        <is>
          <t>La compraventa del inmueble ocurre en un municipio o zona identificada de alto riesgo.</t>
        </is>
      </c>
      <c r="F145" s="264" t="inlineStr">
        <is>
          <t>La compraventa del inmueble ocurre en una entidad federativa con señalamiento en la ENR.</t>
        </is>
      </c>
      <c r="G145" s="264" t="inlineStr">
        <is>
          <t>La compraventa del inmueble ocurre en una entidad federativa sin señalamiento en la ENR.</t>
        </is>
      </c>
      <c r="H145" s="444" t="inlineStr">
        <is>
          <t>campo</t>
        </is>
      </c>
    </row>
    <row r="146" ht="18.75" customHeight="1" s="225">
      <c r="A146" s="264">
        <f>B146&amp;"-"&amp;C146</f>
        <v/>
      </c>
      <c r="B146" s="442" t="inlineStr">
        <is>
          <t>V - Construcción/comercialización inmuebles</t>
        </is>
      </c>
      <c r="C146" s="443" t="n">
        <v>16</v>
      </c>
      <c r="D146" s="264" t="inlineStr">
        <is>
          <t>Vínculo con jurisdicción sancionada o de acción requerida</t>
        </is>
      </c>
      <c r="E146" s="264" t="inlineStr">
        <is>
          <t>Hay exposición directa a una jurisdicción sancionada, en conflicto armado o de acción requerida del GAFI.</t>
        </is>
      </c>
      <c r="F146" s="264" t="inlineStr">
        <is>
          <t>La exposición es indirecta: una contraparte o la ruta de los fondos toca esa jurisdicción.</t>
        </is>
      </c>
      <c r="G146" s="264" t="inlineStr">
        <is>
          <t>Sin exposición a jurisdicciones sancionadas, en conflicto ni de acción requerida.</t>
        </is>
      </c>
      <c r="H146" s="444" t="inlineStr">
        <is>
          <t>campo</t>
        </is>
      </c>
    </row>
    <row r="147" ht="18.75" customHeight="1" s="225">
      <c r="A147" s="264">
        <f>B147&amp;"-"&amp;C147</f>
        <v/>
      </c>
      <c r="B147" s="442" t="inlineStr">
        <is>
          <t>V - Construcción/comercialización inmuebles</t>
        </is>
      </c>
      <c r="C147" s="443" t="n">
        <v>17</v>
      </c>
      <c r="D147" s="264" t="inlineStr">
        <is>
          <t>Coincidencia entre domicilio y lugar de la operación</t>
        </is>
      </c>
      <c r="E147" s="264" t="inlineStr">
        <is>
          <t>El domicilio de el comprador y el lugar de la compraventa del inmueble no coinciden, y no hay explicación documentada.</t>
        </is>
      </c>
      <c r="F147" s="264" t="inlineStr">
        <is>
          <t>No coinciden, pero consta por escrito la razón de operar en ese lugar.</t>
        </is>
      </c>
      <c r="G147" s="264" t="inlineStr">
        <is>
          <t>El domicilio de el comprador y el lugar de la compraventa del inmueble coinciden.</t>
        </is>
      </c>
      <c r="H147" s="444" t="inlineStr">
        <is>
          <t>calculado</t>
        </is>
      </c>
    </row>
    <row r="148" ht="18.75" customHeight="1" s="225">
      <c r="A148" s="264">
        <f>B148&amp;"-"&amp;C148</f>
        <v/>
      </c>
      <c r="B148" s="442" t="inlineStr">
        <is>
          <t>V - Construcción/comercialización inmuebles</t>
        </is>
      </c>
      <c r="C148" s="443" t="n">
        <v>18</v>
      </c>
      <c r="D148" s="264" t="inlineStr">
        <is>
          <t>Instrumento con que se paga</t>
        </is>
      </c>
      <c r="E148" s="264" t="inlineStr">
        <is>
          <t>Efectivo por encima de tu umbral interno, instrumento al portador, o pago en especie.</t>
        </is>
      </c>
      <c r="F148" s="264" t="inlineStr">
        <is>
          <t>Pago mixto, con un componente en efectivo por debajo de tu umbral interno.</t>
        </is>
      </c>
      <c r="G148" s="264" t="inlineStr">
        <is>
          <t>Transferencia electrónica o cheque nominativo desde una cuenta a nombre de el comprador.</t>
        </is>
      </c>
      <c r="H148" s="444" t="inlineStr">
        <is>
          <t>campo</t>
        </is>
      </c>
    </row>
    <row r="149" ht="18.75" customHeight="1" s="225">
      <c r="A149" s="264">
        <f>B149&amp;"-"&amp;C149</f>
        <v/>
      </c>
      <c r="B149" s="442" t="inlineStr">
        <is>
          <t>V - Construcción/comercialización inmuebles</t>
        </is>
      </c>
      <c r="C149" s="443" t="n">
        <v>19</v>
      </c>
      <c r="D149" s="264" t="inlineStr">
        <is>
          <t>Moneda de la operación</t>
        </is>
      </c>
      <c r="E149" s="264" t="inlineStr">
        <is>
          <t>Divisa distinta del dólar estadounidense y del euro, o activo virtual.</t>
        </is>
      </c>
      <c r="F149" s="264" t="inlineStr">
        <is>
          <t>Dólar estadounidense o euro, con soporte documental.</t>
        </is>
      </c>
      <c r="G149" s="264" t="inlineStr">
        <is>
          <t>Peso mexicano.</t>
        </is>
      </c>
      <c r="H149" s="444" t="inlineStr">
        <is>
          <t>campo</t>
        </is>
      </c>
    </row>
    <row r="150" ht="18.75" customHeight="1" s="225">
      <c r="A150" s="264">
        <f>B150&amp;"-"&amp;C150</f>
        <v/>
      </c>
      <c r="B150" s="442" t="inlineStr">
        <is>
          <t>V - Construcción/comercialización inmuebles</t>
        </is>
      </c>
      <c r="C150" s="443" t="n">
        <v>20</v>
      </c>
      <c r="D150" s="264" t="inlineStr">
        <is>
          <t>Monto frente al umbral de tu fracción</t>
        </is>
      </c>
      <c r="E150" s="264" t="inlineStr">
        <is>
          <t>La compraventa del inmueble iguala o supera el umbral de Aviso de tu fracción del artículo 17.</t>
        </is>
      </c>
      <c r="F150" s="264" t="inlineStr">
        <is>
          <t>La compraventa del inmueble se sitúa entre el umbral de identificación y el de Aviso.</t>
        </is>
      </c>
      <c r="G150" s="264" t="inlineStr">
        <is>
          <t>La compraventa del inmueble queda por debajo del umbral de identificación.</t>
        </is>
      </c>
      <c r="H150" s="444" t="inlineStr">
        <is>
          <t>calculado</t>
        </is>
      </c>
    </row>
    <row r="151" ht="18.75" customHeight="1" s="225">
      <c r="A151" s="264">
        <f>B151&amp;"-"&amp;C151</f>
        <v/>
      </c>
      <c r="B151" s="442" t="inlineStr">
        <is>
          <t>V - Construcción/comercialización inmuebles</t>
        </is>
      </c>
      <c r="C151" s="443" t="n">
        <v>21</v>
      </c>
      <c r="D151" s="264" t="inlineStr">
        <is>
          <t>Número y ritmo de operaciones en el periodo</t>
        </is>
      </c>
      <c r="E151" s="264" t="inlineStr">
        <is>
          <t>El comprador realiza cinco o más operaciones al año, o varias en intervalos cortos y regulares.</t>
        </is>
      </c>
      <c r="F151" s="264" t="inlineStr">
        <is>
          <t>El comprador realiza entre dos y cuatro operaciones al año.</t>
        </is>
      </c>
      <c r="G151" s="264" t="inlineStr">
        <is>
          <t>El comprador realiza una sola operación en el periodo.</t>
        </is>
      </c>
      <c r="H151" s="444" t="inlineStr">
        <is>
          <t>calculado</t>
        </is>
      </c>
    </row>
    <row r="152" ht="18.75" customHeight="1" s="225">
      <c r="A152" s="264">
        <f>B152&amp;"-"&amp;C152</f>
        <v/>
      </c>
      <c r="B152" s="442" t="inlineStr">
        <is>
          <t>V - Construcción/comercialización inmuebles</t>
        </is>
      </c>
      <c r="C152" s="443" t="n">
        <v>22</v>
      </c>
      <c r="D152" s="264" t="inlineStr">
        <is>
          <t>Canal: certeza de identificación del Cliente</t>
        </is>
      </c>
      <c r="E152" s="264" t="inlineStr">
        <is>
          <t>La operación llega por un gestor, plataforma o intermediario no acreditado: nadie responde por la identificación de el comprador, y quien opera puede no ser quien dice ser.</t>
        </is>
      </c>
      <c r="F152" s="264" t="inlineStr">
        <is>
          <t>Se identifica a el comprador de forma remota con verificación documental, o a través de un promotor o representante propio con contrato y responsable señalado.</t>
        </is>
      </c>
      <c r="G152" s="264" t="inlineStr">
        <is>
          <t>El comprador comparece de forma directa, o se le identifica en remoto con biometría y prueba de vida.</t>
        </is>
      </c>
      <c r="H152" s="444" t="inlineStr">
        <is>
          <t>campo</t>
        </is>
      </c>
    </row>
    <row r="153" ht="18.75" customHeight="1" s="225">
      <c r="A153" s="264">
        <f>B153&amp;"-"&amp;C153</f>
        <v/>
      </c>
      <c r="B153" s="442" t="inlineStr">
        <is>
          <t>V - Construcción/comercialización inmuebles</t>
        </is>
      </c>
      <c r="C153" s="443" t="n">
        <v>23</v>
      </c>
      <c r="D153" s="264" t="inlineStr">
        <is>
          <t>Acreditación del origen de los recursos</t>
        </is>
      </c>
      <c r="E153" s="264" t="inlineStr">
        <is>
          <t>El origen de los recursos se declara sin soporte documental, o no se manifiesta.</t>
        </is>
      </c>
      <c r="F153" s="264" t="inlineStr">
        <is>
          <t>El origen se declara y se acredita sólo de forma parcial.</t>
        </is>
      </c>
      <c r="G153" s="264" t="inlineStr">
        <is>
          <t>El origen se acredita con documentación verificable.</t>
        </is>
      </c>
      <c r="H153" s="444" t="inlineStr">
        <is>
          <t>bandera</t>
        </is>
      </c>
    </row>
    <row r="154" ht="18.75" customHeight="1" s="225">
      <c r="A154" s="264">
        <f>B154&amp;"-"&amp;C154</f>
        <v/>
      </c>
      <c r="B154" s="442" t="inlineStr">
        <is>
          <t>V - Construcción/comercialización inmuebles</t>
        </is>
      </c>
      <c r="C154" s="443" t="n">
        <v>24</v>
      </c>
      <c r="D154" s="264" t="inlineStr">
        <is>
          <t>Acreditación del destino de los recursos o del bien</t>
        </is>
      </c>
      <c r="E154" s="264" t="inlineStr">
        <is>
          <t>El destino no se manifiesta, o los recursos o el inmueble pasan a un tercero no relacionado con el comprador.</t>
        </is>
      </c>
      <c r="F154" s="264" t="inlineStr">
        <is>
          <t>El destino se declara y es verificable.</t>
        </is>
      </c>
      <c r="G154" s="264" t="inlineStr">
        <is>
          <t>El destino es el inmueble mismo, y queda registrado en la operación.</t>
        </is>
      </c>
      <c r="H154" s="444" t="inlineStr">
        <is>
          <t>bandera</t>
        </is>
      </c>
    </row>
    <row r="155" ht="18.75" customHeight="1" s="225">
      <c r="A155" s="264">
        <f>B155&amp;"-"&amp;C155</f>
        <v/>
      </c>
      <c r="B155" s="442" t="inlineStr">
        <is>
          <t>V - Construcción/comercialización inmuebles</t>
        </is>
      </c>
      <c r="C155" s="443" t="n">
        <v>25</v>
      </c>
      <c r="D155" s="264" t="inlineStr">
        <is>
          <t>Combinación de canal e instrumento idónea para el financiamiento al terrorismo</t>
        </is>
      </c>
      <c r="E155" s="264" t="inlineStr">
        <is>
          <t>La compraventa del inmueble combina contratación a distancia sin verificación reforzada con pagos en efectivo o instrumentos al portador.</t>
        </is>
      </c>
      <c r="F155" s="264" t="inlineStr">
        <is>
          <t>Concurre uno solo de los dos: o la contratación remota sin verificación reforzada, o el pago en instrumento no bancarizado.</t>
        </is>
      </c>
      <c r="G155" s="264" t="inlineStr">
        <is>
          <t>Ni la forma de contratar ni la de pagar permiten mover valor de forma anónima.</t>
        </is>
      </c>
      <c r="H155" s="444" t="inlineStr">
        <is>
          <t>bandera</t>
        </is>
      </c>
    </row>
    <row r="156" ht="18.75" customHeight="1" s="225">
      <c r="A156" s="264">
        <f>B156&amp;"-"&amp;C156</f>
        <v/>
      </c>
      <c r="B156" s="442" t="inlineStr">
        <is>
          <t>V Bis - Recepción recursos desarrollo inmobiliario</t>
        </is>
      </c>
      <c r="C156" s="443" t="n">
        <v>1</v>
      </c>
      <c r="D156" s="264" t="inlineStr">
        <is>
          <t>Valor unitario de la operación</t>
        </is>
      </c>
      <c r="E156" s="264" t="inlineStr">
        <is>
          <t>La unidad en desarrollo tiene un valor unitario muy por encima del ticket promedio de tu operación de doce meses.</t>
        </is>
      </c>
      <c r="F156" s="264" t="inlineStr">
        <is>
          <t>La unidad en desarrollo tiene un valor unitario dentro del rango habitual de tu operación.</t>
        </is>
      </c>
      <c r="G156" s="264" t="inlineStr">
        <is>
          <t>La unidad en desarrollo tiene un valor unitario por debajo de tu ticket promedio.</t>
        </is>
      </c>
      <c r="H156" s="444" t="inlineStr">
        <is>
          <t>calculado</t>
        </is>
      </c>
    </row>
    <row r="157" ht="18.75" customHeight="1" s="225">
      <c r="A157" s="264">
        <f>B157&amp;"-"&amp;C157</f>
        <v/>
      </c>
      <c r="B157" s="442" t="inlineStr">
        <is>
          <t>V Bis - Recepción recursos desarrollo inmobiliario</t>
        </is>
      </c>
      <c r="C157" s="443" t="n">
        <v>2</v>
      </c>
      <c r="D157" s="264" t="inlineStr">
        <is>
          <t>Liquidez: facilidad de convertir en dinero</t>
        </is>
      </c>
      <c r="E157" s="264" t="inlineStr">
        <is>
          <t>La unidad en desarrollo puede revenderse o cederse de inmediato y prácticamente a su valor íntegro.</t>
        </is>
      </c>
      <c r="F157" s="264" t="inlineStr">
        <is>
          <t>La unidad en desarrollo puede revenderse, pero con trámite, plazo o pérdida de valor apreciable.</t>
        </is>
      </c>
      <c r="G157" s="264" t="inlineStr">
        <is>
          <t>La unidad en desarrollo es difícil de revender: exige formalidades o registro, o pierde valor de forma significativa.</t>
        </is>
      </c>
      <c r="H157" s="444" t="inlineStr">
        <is>
          <t>bandera</t>
        </is>
      </c>
    </row>
    <row r="158" ht="18.75" customHeight="1" s="225">
      <c r="A158" s="264">
        <f>B158&amp;"-"&amp;C158</f>
        <v/>
      </c>
      <c r="B158" s="442" t="inlineStr">
        <is>
          <t>V Bis - Recepción recursos desarrollo inmobiliario</t>
        </is>
      </c>
      <c r="C158" s="443" t="n">
        <v>3</v>
      </c>
      <c r="D158" s="264" t="inlineStr">
        <is>
          <t>Anonimato: si el beneficiario queda a la vista</t>
        </is>
      </c>
      <c r="E158" s="264" t="inlineStr">
        <is>
          <t>La aportación al desarrollo admite que quien aparece no sea quien recibe el beneficio, sin que quede registro de quién es el beneficiario final.</t>
        </is>
      </c>
      <c r="F158" s="264" t="inlineStr">
        <is>
          <t>Se identifica a quien aporta los recursos, pero el beneficiario final se declara sin documento que lo respalde.</t>
        </is>
      </c>
      <c r="G158" s="264" t="inlineStr">
        <is>
          <t>Quien aporta los recursos y el beneficiario final coinciden, y ambos constan en el expediente.</t>
        </is>
      </c>
      <c r="H158" s="444" t="inlineStr">
        <is>
          <t>bandera</t>
        </is>
      </c>
    </row>
    <row r="159" ht="18.75" customHeight="1" s="225">
      <c r="A159" s="264">
        <f>B159&amp;"-"&amp;C159</f>
        <v/>
      </c>
      <c r="B159" s="442" t="inlineStr">
        <is>
          <t>V Bis - Recepción recursos desarrollo inmobiliario</t>
        </is>
      </c>
      <c r="C159" s="443" t="n">
        <v>4</v>
      </c>
      <c r="D159" s="264" t="inlineStr">
        <is>
          <t>Ocultamiento de valor en el precio</t>
        </is>
      </c>
      <c r="E159" s="264" t="inlineStr">
        <is>
          <t>La aportación al desarrollo admite sobrevaluar, subvaluar o fraccionar el precio sin que la contabilidad lo refleje.</t>
        </is>
      </c>
      <c r="F159" s="264" t="inlineStr">
        <is>
          <t>El precio se aparta del valor de referencia, pero existe explicación documentada de la diferencia.</t>
        </is>
      </c>
      <c r="G159" s="264" t="inlineStr">
        <is>
          <t>El precio corresponde al valor de referencia y queda registrado en la contabilidad.</t>
        </is>
      </c>
      <c r="H159" s="444" t="inlineStr">
        <is>
          <t>bandera</t>
        </is>
      </c>
    </row>
    <row r="160" ht="18.75" customHeight="1" s="225">
      <c r="A160" s="264">
        <f>B160&amp;"-"&amp;C160</f>
        <v/>
      </c>
      <c r="B160" s="442" t="inlineStr">
        <is>
          <t>V Bis - Recepción recursos desarrollo inmobiliario</t>
        </is>
      </c>
      <c r="C160" s="443" t="n">
        <v>5</v>
      </c>
      <c r="D160" s="264" t="inlineStr">
        <is>
          <t>Exposición a personas señaladas por terrorismo</t>
        </is>
      </c>
      <c r="E160" s="264" t="inlineStr">
        <is>
          <t>Quien aporta los recursos, su beneficiario o su contraparte aparece en listas de sanciones o de organizaciones terroristas.</t>
        </is>
      </c>
      <c r="F160" s="264" t="inlineStr">
        <is>
          <t>Existe un vínculo indirecto —contraparte, domicilio o ruta de los fondos— con una jurisdicción en conflicto o de acción requerida.</t>
        </is>
      </c>
      <c r="G160" s="264" t="inlineStr">
        <is>
          <t>Sin coincidencias ni vínculos con esas listas ni con jurisdicciones en conflicto, con búsqueda documentada.</t>
        </is>
      </c>
      <c r="H160" s="444" t="inlineStr">
        <is>
          <t>campo</t>
        </is>
      </c>
    </row>
    <row r="161" ht="18.75" customHeight="1" s="225">
      <c r="A161" s="264">
        <f>B161&amp;"-"&amp;C161</f>
        <v/>
      </c>
      <c r="B161" s="442" t="inlineStr">
        <is>
          <t>V Bis - Recepción recursos desarrollo inmobiliario</t>
        </is>
      </c>
      <c r="C161" s="443" t="n">
        <v>6</v>
      </c>
      <c r="D161" s="264" t="inlineStr">
        <is>
          <t>Tipo de persona</t>
        </is>
      </c>
      <c r="E161" s="264" t="inlineStr">
        <is>
          <t>Quien aporta los recursos es un fideicomiso u otro vehículo sin personalidad jurídica propia. No hay un titular único: la figura permite que quien financia y quien recibe la unidad sean personas distintas y que ninguna aparezca en el contrato.</t>
        </is>
      </c>
      <c r="F161" s="264" t="inlineStr">
        <is>
          <t>Quien aporta los recursos es persona moral. La voluntad se forma en órganos y la propiedad está en socios, así que hay que llegar al Beneficiario Controlador para saber quién está realmente detrás.</t>
        </is>
      </c>
      <c r="G161" s="264" t="inlineStr">
        <is>
          <t>Quien aporta los recursos es persona física. Coincide quien financia y quien recibe la unidad, y la identificación es directa contra un solo expediente.</t>
        </is>
      </c>
      <c r="H161" s="444" t="inlineStr">
        <is>
          <t>campo</t>
        </is>
      </c>
    </row>
    <row r="162" ht="18.75" customHeight="1" s="225">
      <c r="A162" s="264">
        <f>B162&amp;"-"&amp;C162</f>
        <v/>
      </c>
      <c r="B162" s="442" t="inlineStr">
        <is>
          <t>V Bis - Recepción recursos desarrollo inmobiliario</t>
        </is>
      </c>
      <c r="C162" s="443" t="n">
        <v>7</v>
      </c>
      <c r="D162" s="264" t="inlineStr">
        <is>
          <t>Antigüedad del Cliente</t>
        </is>
      </c>
      <c r="E162" s="264" t="inlineStr">
        <is>
          <t>Persona moral constituida hace menos de dos años, o persona física menor de veintitrés años.</t>
        </is>
      </c>
      <c r="F162" s="264" t="inlineStr">
        <is>
          <t>Persona moral constituida hace entre dos y cinco años.</t>
        </is>
      </c>
      <c r="G162" s="264" t="inlineStr">
        <is>
          <t>Persona moral con más de cinco años de constituida, o persona física de veintitrés años en adelante.</t>
        </is>
      </c>
      <c r="H162" s="444" t="inlineStr">
        <is>
          <t>campo</t>
        </is>
      </c>
    </row>
    <row r="163" ht="18.75" customHeight="1" s="225">
      <c r="A163" s="264">
        <f>B163&amp;"-"&amp;C163</f>
        <v/>
      </c>
      <c r="B163" s="442" t="inlineStr">
        <is>
          <t>V Bis - Recepción recursos desarrollo inmobiliario</t>
        </is>
      </c>
      <c r="C163" s="443" t="n">
        <v>8</v>
      </c>
      <c r="D163" s="264" t="inlineStr">
        <is>
          <t>Giro o actividad declarada</t>
        </is>
      </c>
      <c r="E163" s="264" t="inlineStr">
        <is>
          <t>El giro que declara quien aporta los recursos es a su vez una Actividad Vulnerable del artículo 17, o no se acredita con documento alguno.</t>
        </is>
      </c>
      <c r="F163" s="264" t="inlineStr">
        <is>
          <t>El giro se declara y se acredita sólo de forma parcial.</t>
        </is>
      </c>
      <c r="G163" s="264" t="inlineStr">
        <is>
          <t>El giro se acredita con documento: constancia de situación fiscal, acta constitutiva o comprobante de empleo.</t>
        </is>
      </c>
      <c r="H163" s="444" t="inlineStr">
        <is>
          <t>campo</t>
        </is>
      </c>
    </row>
    <row r="164" ht="18.75" customHeight="1" s="225">
      <c r="A164" s="264">
        <f>B164&amp;"-"&amp;C164</f>
        <v/>
      </c>
      <c r="B164" s="442" t="inlineStr">
        <is>
          <t>V Bis - Recepción recursos desarrollo inmobiliario</t>
        </is>
      </c>
      <c r="C164" s="443" t="n">
        <v>9</v>
      </c>
      <c r="D164" s="264" t="inlineStr">
        <is>
          <t>Nacionalidad</t>
        </is>
      </c>
      <c r="E164" s="264" t="inlineStr">
        <is>
          <t>Nacionalidad de país o jurisdicción señalada por la UIF, o no determinada.</t>
        </is>
      </c>
      <c r="F164" s="264" t="inlineStr">
        <is>
          <t>Nacionalidad extranjera de país sin señalamiento.</t>
        </is>
      </c>
      <c r="G164" s="264" t="inlineStr">
        <is>
          <t>Nacionalidad mexicana.</t>
        </is>
      </c>
      <c r="H164" s="444" t="inlineStr">
        <is>
          <t>campo</t>
        </is>
      </c>
    </row>
    <row r="165" ht="18.75" customHeight="1" s="225">
      <c r="A165" s="264">
        <f>B165&amp;"-"&amp;C165</f>
        <v/>
      </c>
      <c r="B165" s="442" t="inlineStr">
        <is>
          <t>V Bis - Recepción recursos desarrollo inmobiliario</t>
        </is>
      </c>
      <c r="C165" s="443" t="n">
        <v>10</v>
      </c>
      <c r="D165" s="264" t="inlineStr">
        <is>
          <t>País y entidad de residencia</t>
        </is>
      </c>
      <c r="E165" s="264" t="inlineStr">
        <is>
          <t>Residencia en jurisdicción de régimen fiscal preferente o señalada por deficiencias, o domicilio no verificable.</t>
        </is>
      </c>
      <c r="F165" s="264" t="inlineStr">
        <is>
          <t>Residencia en el extranjero sin señalamiento, o en entidad federativa señalada en la ENR.</t>
        </is>
      </c>
      <c r="G165" s="264" t="inlineStr">
        <is>
          <t>Residencia en México, en entidad federativa sin señalamiento en la ENR.</t>
        </is>
      </c>
      <c r="H165" s="444" t="inlineStr">
        <is>
          <t>campo</t>
        </is>
      </c>
    </row>
    <row r="166" ht="18.75" customHeight="1" s="225">
      <c r="A166" s="264">
        <f>B166&amp;"-"&amp;C166</f>
        <v/>
      </c>
      <c r="B166" s="442" t="inlineStr">
        <is>
          <t>V Bis - Recepción recursos desarrollo inmobiliario</t>
        </is>
      </c>
      <c r="C166" s="443" t="n">
        <v>11</v>
      </c>
      <c r="D166" s="264" t="inlineStr">
        <is>
          <t>Condición de Persona Políticamente Expuesta</t>
        </is>
      </c>
      <c r="E166" s="264" t="inlineStr">
        <is>
          <t>Persona Políticamente Expuesta extranjera, o nacional cuyo comportamiento transaccional no corresponde con sus ingresos y funciones.</t>
        </is>
      </c>
      <c r="F166" s="264" t="inlineStr">
        <is>
          <t>Persona Políticamente Expuesta nacional con comportamiento congruente, o familiar o allegado de una.</t>
        </is>
      </c>
      <c r="G166" s="264" t="inlineStr">
        <is>
          <t>Sin condición de Persona Políticamente Expuesta, con búsqueda documentada.</t>
        </is>
      </c>
      <c r="H166" s="444" t="inlineStr">
        <is>
          <t>campo</t>
        </is>
      </c>
    </row>
    <row r="167" ht="18.75" customHeight="1" s="225">
      <c r="A167" s="264">
        <f>B167&amp;"-"&amp;C167</f>
        <v/>
      </c>
      <c r="B167" s="442" t="inlineStr">
        <is>
          <t>V Bis - Recepción recursos desarrollo inmobiliario</t>
        </is>
      </c>
      <c r="C167" s="443" t="n">
        <v>12</v>
      </c>
      <c r="D167" s="264" t="inlineStr">
        <is>
          <t>Resultado de la búsqueda en listas</t>
        </is>
      </c>
      <c r="E167" s="264" t="inlineStr">
        <is>
          <t>Coincidencia positiva en listas de personas bloqueadas o de sanciones, o búsqueda no realizada o sin constancia.</t>
        </is>
      </c>
      <c r="F167" s="264" t="inlineStr">
        <is>
          <t>Coincidencia descartada por homonimia acreditada, con constancia.</t>
        </is>
      </c>
      <c r="G167" s="264" t="inlineStr">
        <is>
          <t>Sin coincidencia, con constancia de la búsqueda y su fecha.</t>
        </is>
      </c>
      <c r="H167" s="444" t="inlineStr">
        <is>
          <t>campo</t>
        </is>
      </c>
    </row>
    <row r="168" ht="18.75" customHeight="1" s="225">
      <c r="A168" s="264">
        <f>B168&amp;"-"&amp;C168</f>
        <v/>
      </c>
      <c r="B168" s="442" t="inlineStr">
        <is>
          <t>V Bis - Recepción recursos desarrollo inmobiliario</t>
        </is>
      </c>
      <c r="C168" s="443" t="n">
        <v>13</v>
      </c>
      <c r="D168" s="264" t="inlineStr">
        <is>
          <t>Profundidad de la cadena de control</t>
        </is>
      </c>
      <c r="E168" s="264" t="inlineStr">
        <is>
          <t>No se logra identificar al Beneficiario Controlador de quien aporta los recursos, o la cadena no es acreditable.</t>
        </is>
      </c>
      <c r="F168" s="264" t="inlineStr">
        <is>
          <t>El Beneficiario Controlador se identifica atravesando dos o más niveles societarios o fiduciarios.</t>
        </is>
      </c>
      <c r="G168" s="264" t="inlineStr">
        <is>
          <t>El Beneficiario Controlador se identifica en un solo nivel, o quien aporta los recursos es su propio beneficiario.</t>
        </is>
      </c>
      <c r="H168" s="444" t="inlineStr">
        <is>
          <t>calculado</t>
        </is>
      </c>
    </row>
    <row r="169" ht="18.75" customHeight="1" s="225">
      <c r="A169" s="264">
        <f>B169&amp;"-"&amp;C169</f>
        <v/>
      </c>
      <c r="B169" s="442" t="inlineStr">
        <is>
          <t>V Bis - Recepción recursos desarrollo inmobiliario</t>
        </is>
      </c>
      <c r="C169" s="443" t="n">
        <v>14</v>
      </c>
      <c r="D169" s="264" t="inlineStr">
        <is>
          <t>País donde se realiza la operación</t>
        </is>
      </c>
      <c r="E169" s="264" t="inlineStr">
        <is>
          <t>La aportación al desarrollo se pacta con o desde una jurisdicción de alto riesgo o no cooperante.</t>
        </is>
      </c>
      <c r="F169" s="264" t="inlineStr">
        <is>
          <t>La aportación al desarrollo se pacta con una jurisdicción extranjera sin señalamiento.</t>
        </is>
      </c>
      <c r="G169" s="264" t="inlineStr">
        <is>
          <t>La aportación al desarrollo se realiza íntegramente en México.</t>
        </is>
      </c>
      <c r="H169" s="444" t="inlineStr">
        <is>
          <t>campo</t>
        </is>
      </c>
    </row>
    <row r="170" ht="18.75" customHeight="1" s="225">
      <c r="A170" s="264">
        <f>B170&amp;"-"&amp;C170</f>
        <v/>
      </c>
      <c r="B170" s="442" t="inlineStr">
        <is>
          <t>V Bis - Recepción recursos desarrollo inmobiliario</t>
        </is>
      </c>
      <c r="C170" s="443" t="n">
        <v>15</v>
      </c>
      <c r="D170" s="264" t="inlineStr">
        <is>
          <t>Entidad o municipio de la operación</t>
        </is>
      </c>
      <c r="E170" s="264" t="inlineStr">
        <is>
          <t>La aportación al desarrollo ocurre en un municipio o zona identificada de alto riesgo.</t>
        </is>
      </c>
      <c r="F170" s="264" t="inlineStr">
        <is>
          <t>La aportación al desarrollo ocurre en una entidad federativa con señalamiento en la ENR.</t>
        </is>
      </c>
      <c r="G170" s="264" t="inlineStr">
        <is>
          <t>La aportación al desarrollo ocurre en una entidad federativa sin señalamiento en la ENR.</t>
        </is>
      </c>
      <c r="H170" s="444" t="inlineStr">
        <is>
          <t>campo</t>
        </is>
      </c>
    </row>
    <row r="171" ht="18.75" customHeight="1" s="225">
      <c r="A171" s="264">
        <f>B171&amp;"-"&amp;C171</f>
        <v/>
      </c>
      <c r="B171" s="442" t="inlineStr">
        <is>
          <t>V Bis - Recepción recursos desarrollo inmobiliario</t>
        </is>
      </c>
      <c r="C171" s="443" t="n">
        <v>16</v>
      </c>
      <c r="D171" s="264" t="inlineStr">
        <is>
          <t>Vínculo con jurisdicción sancionada o de acción requerida</t>
        </is>
      </c>
      <c r="E171" s="264" t="inlineStr">
        <is>
          <t>Hay exposición directa a una jurisdicción sancionada, en conflicto armado o de acción requerida del GAFI.</t>
        </is>
      </c>
      <c r="F171" s="264" t="inlineStr">
        <is>
          <t>La exposición es indirecta: una contraparte o la ruta de los fondos toca esa jurisdicción.</t>
        </is>
      </c>
      <c r="G171" s="264" t="inlineStr">
        <is>
          <t>Sin exposición a jurisdicciones sancionadas, en conflicto ni de acción requerida.</t>
        </is>
      </c>
      <c r="H171" s="444" t="inlineStr">
        <is>
          <t>campo</t>
        </is>
      </c>
    </row>
    <row r="172" ht="18.75" customHeight="1" s="225">
      <c r="A172" s="264">
        <f>B172&amp;"-"&amp;C172</f>
        <v/>
      </c>
      <c r="B172" s="442" t="inlineStr">
        <is>
          <t>V Bis - Recepción recursos desarrollo inmobiliario</t>
        </is>
      </c>
      <c r="C172" s="443" t="n">
        <v>17</v>
      </c>
      <c r="D172" s="264" t="inlineStr">
        <is>
          <t>Coincidencia entre domicilio y lugar de la operación</t>
        </is>
      </c>
      <c r="E172" s="264" t="inlineStr">
        <is>
          <t>El domicilio de quien aporta los recursos y el lugar de la aportación al desarrollo no coinciden, y no hay explicación documentada.</t>
        </is>
      </c>
      <c r="F172" s="264" t="inlineStr">
        <is>
          <t>No coinciden, pero consta por escrito la razón de operar en ese lugar.</t>
        </is>
      </c>
      <c r="G172" s="264" t="inlineStr">
        <is>
          <t>El domicilio de quien aporta los recursos y el lugar de la aportación al desarrollo coinciden.</t>
        </is>
      </c>
      <c r="H172" s="444" t="inlineStr">
        <is>
          <t>calculado</t>
        </is>
      </c>
    </row>
    <row r="173" ht="18.75" customHeight="1" s="225">
      <c r="A173" s="264">
        <f>B173&amp;"-"&amp;C173</f>
        <v/>
      </c>
      <c r="B173" s="442" t="inlineStr">
        <is>
          <t>V Bis - Recepción recursos desarrollo inmobiliario</t>
        </is>
      </c>
      <c r="C173" s="443" t="n">
        <v>18</v>
      </c>
      <c r="D173" s="264" t="inlineStr">
        <is>
          <t>Instrumento con que se paga</t>
        </is>
      </c>
      <c r="E173" s="264" t="inlineStr">
        <is>
          <t>Efectivo por encima de tu umbral interno, instrumento al portador, o pago en especie.</t>
        </is>
      </c>
      <c r="F173" s="264" t="inlineStr">
        <is>
          <t>Pago mixto, con un componente en efectivo por debajo de tu umbral interno.</t>
        </is>
      </c>
      <c r="G173" s="264" t="inlineStr">
        <is>
          <t>Transferencia electrónica o cheque nominativo desde una cuenta a nombre de quien aporta los recursos.</t>
        </is>
      </c>
      <c r="H173" s="444" t="inlineStr">
        <is>
          <t>campo</t>
        </is>
      </c>
    </row>
    <row r="174" ht="18.75" customHeight="1" s="225">
      <c r="A174" s="264">
        <f>B174&amp;"-"&amp;C174</f>
        <v/>
      </c>
      <c r="B174" s="442" t="inlineStr">
        <is>
          <t>V Bis - Recepción recursos desarrollo inmobiliario</t>
        </is>
      </c>
      <c r="C174" s="443" t="n">
        <v>19</v>
      </c>
      <c r="D174" s="264" t="inlineStr">
        <is>
          <t>Moneda de la operación</t>
        </is>
      </c>
      <c r="E174" s="264" t="inlineStr">
        <is>
          <t>Divisa distinta del dólar estadounidense y del euro, o activo virtual.</t>
        </is>
      </c>
      <c r="F174" s="264" t="inlineStr">
        <is>
          <t>Dólar estadounidense o euro, con soporte documental.</t>
        </is>
      </c>
      <c r="G174" s="264" t="inlineStr">
        <is>
          <t>Peso mexicano.</t>
        </is>
      </c>
      <c r="H174" s="444" t="inlineStr">
        <is>
          <t>campo</t>
        </is>
      </c>
    </row>
    <row r="175" ht="18.75" customHeight="1" s="225">
      <c r="A175" s="264">
        <f>B175&amp;"-"&amp;C175</f>
        <v/>
      </c>
      <c r="B175" s="442" t="inlineStr">
        <is>
          <t>V Bis - Recepción recursos desarrollo inmobiliario</t>
        </is>
      </c>
      <c r="C175" s="443" t="n">
        <v>20</v>
      </c>
      <c r="D175" s="264" t="inlineStr">
        <is>
          <t>Monto frente al umbral de tu fracción</t>
        </is>
      </c>
      <c r="E175" s="264" t="inlineStr">
        <is>
          <t>La aportación al desarrollo iguala o supera el umbral de Aviso de tu fracción del artículo 17.</t>
        </is>
      </c>
      <c r="F175" s="264" t="inlineStr">
        <is>
          <t>La aportación al desarrollo se sitúa entre el umbral de identificación y el de Aviso.</t>
        </is>
      </c>
      <c r="G175" s="264" t="inlineStr">
        <is>
          <t>La aportación al desarrollo queda por debajo del umbral de identificación.</t>
        </is>
      </c>
      <c r="H175" s="444" t="inlineStr">
        <is>
          <t>calculado</t>
        </is>
      </c>
    </row>
    <row r="176" ht="18.75" customHeight="1" s="225">
      <c r="A176" s="264">
        <f>B176&amp;"-"&amp;C176</f>
        <v/>
      </c>
      <c r="B176" s="442" t="inlineStr">
        <is>
          <t>V Bis - Recepción recursos desarrollo inmobiliario</t>
        </is>
      </c>
      <c r="C176" s="443" t="n">
        <v>21</v>
      </c>
      <c r="D176" s="264" t="inlineStr">
        <is>
          <t>Número y ritmo de operaciones en el periodo</t>
        </is>
      </c>
      <c r="E176" s="264" t="inlineStr">
        <is>
          <t>Quien aporta los recursos realiza cinco o más operaciones al año, o varias en intervalos cortos y regulares.</t>
        </is>
      </c>
      <c r="F176" s="264" t="inlineStr">
        <is>
          <t>Quien aporta los recursos realiza entre dos y cuatro operaciones al año.</t>
        </is>
      </c>
      <c r="G176" s="264" t="inlineStr">
        <is>
          <t>Quien aporta los recursos realiza una sola operación en el periodo.</t>
        </is>
      </c>
      <c r="H176" s="444" t="inlineStr">
        <is>
          <t>calculado</t>
        </is>
      </c>
    </row>
    <row r="177" ht="18.75" customHeight="1" s="225">
      <c r="A177" s="264">
        <f>B177&amp;"-"&amp;C177</f>
        <v/>
      </c>
      <c r="B177" s="442" t="inlineStr">
        <is>
          <t>V Bis - Recepción recursos desarrollo inmobiliario</t>
        </is>
      </c>
      <c r="C177" s="443" t="n">
        <v>22</v>
      </c>
      <c r="D177" s="264" t="inlineStr">
        <is>
          <t>Canal: certeza de identificación del Cliente</t>
        </is>
      </c>
      <c r="E177" s="264" t="inlineStr">
        <is>
          <t>La operación llega por un gestor, plataforma o intermediario no acreditado: nadie responde por la identificación de quien aporta los recursos, y quien opera puede no ser quien dice ser.</t>
        </is>
      </c>
      <c r="F177" s="264" t="inlineStr">
        <is>
          <t>Se identifica a quien aporta los recursos de forma remota con verificación documental, o a través de un promotor o representante propio con contrato y responsable señalado.</t>
        </is>
      </c>
      <c r="G177" s="264" t="inlineStr">
        <is>
          <t>Quien aporta los recursos comparece de forma directa, o se le identifica en remoto con biometría y prueba de vida.</t>
        </is>
      </c>
      <c r="H177" s="444" t="inlineStr">
        <is>
          <t>campo</t>
        </is>
      </c>
    </row>
    <row r="178" ht="18.75" customHeight="1" s="225">
      <c r="A178" s="264">
        <f>B178&amp;"-"&amp;C178</f>
        <v/>
      </c>
      <c r="B178" s="442" t="inlineStr">
        <is>
          <t>V Bis - Recepción recursos desarrollo inmobiliario</t>
        </is>
      </c>
      <c r="C178" s="443" t="n">
        <v>23</v>
      </c>
      <c r="D178" s="264" t="inlineStr">
        <is>
          <t>Acreditación del origen de los recursos</t>
        </is>
      </c>
      <c r="E178" s="264" t="inlineStr">
        <is>
          <t>El origen de los recursos se declara sin soporte documental, o no se manifiesta.</t>
        </is>
      </c>
      <c r="F178" s="264" t="inlineStr">
        <is>
          <t>El origen se declara y se acredita sólo de forma parcial.</t>
        </is>
      </c>
      <c r="G178" s="264" t="inlineStr">
        <is>
          <t>El origen se acredita con documentación verificable.</t>
        </is>
      </c>
      <c r="H178" s="444" t="inlineStr">
        <is>
          <t>bandera</t>
        </is>
      </c>
    </row>
    <row r="179" ht="18.75" customHeight="1" s="225">
      <c r="A179" s="264">
        <f>B179&amp;"-"&amp;C179</f>
        <v/>
      </c>
      <c r="B179" s="442" t="inlineStr">
        <is>
          <t>V Bis - Recepción recursos desarrollo inmobiliario</t>
        </is>
      </c>
      <c r="C179" s="443" t="n">
        <v>24</v>
      </c>
      <c r="D179" s="264" t="inlineStr">
        <is>
          <t>Acreditación del destino de los recursos o del bien</t>
        </is>
      </c>
      <c r="E179" s="264" t="inlineStr">
        <is>
          <t>El destino no se manifiesta, o los recursos o la unidad en desarrollo pasan a un tercero no relacionado con quien aporta los recursos.</t>
        </is>
      </c>
      <c r="F179" s="264" t="inlineStr">
        <is>
          <t>El destino se declara y es verificable.</t>
        </is>
      </c>
      <c r="G179" s="264" t="inlineStr">
        <is>
          <t>El destino es la unidad en desarrollo mismo, y queda registrado en la operación.</t>
        </is>
      </c>
      <c r="H179" s="444" t="inlineStr">
        <is>
          <t>bandera</t>
        </is>
      </c>
    </row>
    <row r="180" ht="18.75" customHeight="1" s="225">
      <c r="A180" s="264">
        <f>B180&amp;"-"&amp;C180</f>
        <v/>
      </c>
      <c r="B180" s="442" t="inlineStr">
        <is>
          <t>V Bis - Recepción recursos desarrollo inmobiliario</t>
        </is>
      </c>
      <c r="C180" s="443" t="n">
        <v>25</v>
      </c>
      <c r="D180" s="264" t="inlineStr">
        <is>
          <t>Combinación de canal e instrumento idónea para el financiamiento al terrorismo</t>
        </is>
      </c>
      <c r="E180" s="264" t="inlineStr">
        <is>
          <t>La aportación al desarrollo combina contratación a distancia sin verificación reforzada con pagos en efectivo o instrumentos al portador.</t>
        </is>
      </c>
      <c r="F180" s="264" t="inlineStr">
        <is>
          <t>Concurre uno solo de los dos: o la contratación remota sin verificación reforzada, o el pago en instrumento no bancarizado.</t>
        </is>
      </c>
      <c r="G180" s="264" t="inlineStr">
        <is>
          <t>Ni la forma de contratar ni la de pagar permiten mover valor de forma anónima.</t>
        </is>
      </c>
      <c r="H180" s="444" t="inlineStr">
        <is>
          <t>bandera</t>
        </is>
      </c>
    </row>
    <row r="181" ht="18.75" customHeight="1" s="225">
      <c r="A181" s="264">
        <f>B181&amp;"-"&amp;C181</f>
        <v/>
      </c>
      <c r="B181" s="442" t="inlineStr">
        <is>
          <t>VI - Piedras y metales preciosos, joyas</t>
        </is>
      </c>
      <c r="C181" s="443" t="n">
        <v>1</v>
      </c>
      <c r="D181" s="264" t="inlineStr">
        <is>
          <t>Valor unitario de la operación</t>
        </is>
      </c>
      <c r="E181" s="264" t="inlineStr">
        <is>
          <t>La pieza tiene un valor unitario muy por encima del ticket promedio de tu operación de doce meses.</t>
        </is>
      </c>
      <c r="F181" s="264" t="inlineStr">
        <is>
          <t>La pieza tiene un valor unitario dentro del rango habitual de tu operación.</t>
        </is>
      </c>
      <c r="G181" s="264" t="inlineStr">
        <is>
          <t>La pieza tiene un valor unitario por debajo de tu ticket promedio.</t>
        </is>
      </c>
      <c r="H181" s="444" t="inlineStr">
        <is>
          <t>calculado</t>
        </is>
      </c>
    </row>
    <row r="182" ht="18.75" customHeight="1" s="225">
      <c r="A182" s="264">
        <f>B182&amp;"-"&amp;C182</f>
        <v/>
      </c>
      <c r="B182" s="442" t="inlineStr">
        <is>
          <t>VI - Piedras y metales preciosos, joyas</t>
        </is>
      </c>
      <c r="C182" s="443" t="n">
        <v>2</v>
      </c>
      <c r="D182" s="264" t="inlineStr">
        <is>
          <t>Liquidez: facilidad de convertir en dinero</t>
        </is>
      </c>
      <c r="E182" s="264" t="inlineStr">
        <is>
          <t>La pieza puede revenderse o cederse de inmediato y prácticamente a su valor íntegro.</t>
        </is>
      </c>
      <c r="F182" s="264" t="inlineStr">
        <is>
          <t>La pieza puede revenderse, pero con trámite, plazo o pérdida de valor apreciable.</t>
        </is>
      </c>
      <c r="G182" s="264" t="inlineStr">
        <is>
          <t>La pieza es difícil de revender: exige formalidades o registro, o pierde valor de forma significativa.</t>
        </is>
      </c>
      <c r="H182" s="444" t="inlineStr">
        <is>
          <t>bandera</t>
        </is>
      </c>
    </row>
    <row r="183" ht="18.75" customHeight="1" s="225">
      <c r="A183" s="264">
        <f>B183&amp;"-"&amp;C183</f>
        <v/>
      </c>
      <c r="B183" s="442" t="inlineStr">
        <is>
          <t>VI - Piedras y metales preciosos, joyas</t>
        </is>
      </c>
      <c r="C183" s="443" t="n">
        <v>3</v>
      </c>
      <c r="D183" s="264" t="inlineStr">
        <is>
          <t>Anonimato: si el beneficiario queda a la vista</t>
        </is>
      </c>
      <c r="E183" s="264" t="inlineStr">
        <is>
          <t>La compraventa de la pieza admite que quien aparece no sea quien recibe el beneficio, sin que quede registro de quién es el beneficiario final.</t>
        </is>
      </c>
      <c r="F183" s="264" t="inlineStr">
        <is>
          <t>Se identifica a el comprador, pero el beneficiario final se declara sin documento que lo respalde.</t>
        </is>
      </c>
      <c r="G183" s="264" t="inlineStr">
        <is>
          <t>El comprador y el beneficiario final coinciden, y ambos constan en el expediente.</t>
        </is>
      </c>
      <c r="H183" s="444" t="inlineStr">
        <is>
          <t>bandera</t>
        </is>
      </c>
    </row>
    <row r="184" ht="18.75" customHeight="1" s="225">
      <c r="A184" s="264">
        <f>B184&amp;"-"&amp;C184</f>
        <v/>
      </c>
      <c r="B184" s="442" t="inlineStr">
        <is>
          <t>VI - Piedras y metales preciosos, joyas</t>
        </is>
      </c>
      <c r="C184" s="443" t="n">
        <v>4</v>
      </c>
      <c r="D184" s="264" t="inlineStr">
        <is>
          <t>Ocultamiento de valor en el precio</t>
        </is>
      </c>
      <c r="E184" s="264" t="inlineStr">
        <is>
          <t>La compraventa de la pieza admite sobrevaluar, subvaluar o fraccionar el precio sin que la contabilidad lo refleje.</t>
        </is>
      </c>
      <c r="F184" s="264" t="inlineStr">
        <is>
          <t>El precio se aparta del valor de referencia, pero existe explicación documentada de la diferencia.</t>
        </is>
      </c>
      <c r="G184" s="264" t="inlineStr">
        <is>
          <t>El precio corresponde al valor de referencia y queda registrado en la contabilidad.</t>
        </is>
      </c>
      <c r="H184" s="444" t="inlineStr">
        <is>
          <t>bandera</t>
        </is>
      </c>
    </row>
    <row r="185" ht="18.75" customHeight="1" s="225">
      <c r="A185" s="264">
        <f>B185&amp;"-"&amp;C185</f>
        <v/>
      </c>
      <c r="B185" s="442" t="inlineStr">
        <is>
          <t>VI - Piedras y metales preciosos, joyas</t>
        </is>
      </c>
      <c r="C185" s="443" t="n">
        <v>5</v>
      </c>
      <c r="D185" s="264" t="inlineStr">
        <is>
          <t>Exposición a personas señaladas por terrorismo</t>
        </is>
      </c>
      <c r="E185" s="264" t="inlineStr">
        <is>
          <t>El comprador, su beneficiario o su contraparte aparece en listas de sanciones o de organizaciones terroristas.</t>
        </is>
      </c>
      <c r="F185" s="264" t="inlineStr">
        <is>
          <t>Existe un vínculo indirecto —contraparte, domicilio o ruta de los fondos— con una jurisdicción en conflicto o de acción requerida.</t>
        </is>
      </c>
      <c r="G185" s="264" t="inlineStr">
        <is>
          <t>Sin coincidencias ni vínculos con esas listas ni con jurisdicciones en conflicto, con búsqueda documentada.</t>
        </is>
      </c>
      <c r="H185" s="444" t="inlineStr">
        <is>
          <t>campo</t>
        </is>
      </c>
    </row>
    <row r="186" ht="18.75" customHeight="1" s="225">
      <c r="A186" s="264">
        <f>B186&amp;"-"&amp;C186</f>
        <v/>
      </c>
      <c r="B186" s="442" t="inlineStr">
        <is>
          <t>VI - Piedras y metales preciosos, joyas</t>
        </is>
      </c>
      <c r="C186" s="443" t="n">
        <v>6</v>
      </c>
      <c r="D186" s="264" t="inlineStr">
        <is>
          <t>Tipo de persona</t>
        </is>
      </c>
      <c r="E186" s="264" t="inlineStr">
        <is>
          <t>El comprador de la pieza es un fideicomiso u otro vehículo sin personalidad jurídica propia. No hay un titular único: la figura permite que quien paga y quien se lleva el bien sean personas distintas y que ninguna aparezca en el contrato.</t>
        </is>
      </c>
      <c r="F186" s="264" t="inlineStr">
        <is>
          <t>El comprador de la pieza es persona moral. La voluntad se forma en órganos y la propiedad está en socios, así que hay que llegar al Beneficiario Controlador para saber quién está realmente detrás.</t>
        </is>
      </c>
      <c r="G186" s="264" t="inlineStr">
        <is>
          <t>El comprador de la pieza es persona física. Coincide quien paga y quien se lleva el bien, y la identificación es directa contra un solo expediente.</t>
        </is>
      </c>
      <c r="H186" s="444" t="inlineStr">
        <is>
          <t>campo</t>
        </is>
      </c>
    </row>
    <row r="187" ht="18.75" customHeight="1" s="225">
      <c r="A187" s="264">
        <f>B187&amp;"-"&amp;C187</f>
        <v/>
      </c>
      <c r="B187" s="442" t="inlineStr">
        <is>
          <t>VI - Piedras y metales preciosos, joyas</t>
        </is>
      </c>
      <c r="C187" s="443" t="n">
        <v>7</v>
      </c>
      <c r="D187" s="264" t="inlineStr">
        <is>
          <t>Antigüedad del Cliente</t>
        </is>
      </c>
      <c r="E187" s="264" t="inlineStr">
        <is>
          <t>Persona moral constituida hace menos de dos años, o persona física menor de veintitrés años.</t>
        </is>
      </c>
      <c r="F187" s="264" t="inlineStr">
        <is>
          <t>Persona moral constituida hace entre dos y cinco años.</t>
        </is>
      </c>
      <c r="G187" s="264" t="inlineStr">
        <is>
          <t>Persona moral con más de cinco años de constituida, o persona física de veintitrés años en adelante.</t>
        </is>
      </c>
      <c r="H187" s="444" t="inlineStr">
        <is>
          <t>campo</t>
        </is>
      </c>
    </row>
    <row r="188" ht="18.75" customHeight="1" s="225">
      <c r="A188" s="264">
        <f>B188&amp;"-"&amp;C188</f>
        <v/>
      </c>
      <c r="B188" s="442" t="inlineStr">
        <is>
          <t>VI - Piedras y metales preciosos, joyas</t>
        </is>
      </c>
      <c r="C188" s="443" t="n">
        <v>8</v>
      </c>
      <c r="D188" s="264" t="inlineStr">
        <is>
          <t>Giro o actividad declarada</t>
        </is>
      </c>
      <c r="E188" s="264" t="inlineStr">
        <is>
          <t>El giro que declara el comprador es a su vez una Actividad Vulnerable del artículo 17, o no se acredita con documento alguno.</t>
        </is>
      </c>
      <c r="F188" s="264" t="inlineStr">
        <is>
          <t>El giro se declara y se acredita sólo de forma parcial.</t>
        </is>
      </c>
      <c r="G188" s="264" t="inlineStr">
        <is>
          <t>El giro se acredita con documento: constancia de situación fiscal, acta constitutiva o comprobante de empleo.</t>
        </is>
      </c>
      <c r="H188" s="444" t="inlineStr">
        <is>
          <t>campo</t>
        </is>
      </c>
    </row>
    <row r="189" ht="18.75" customHeight="1" s="225">
      <c r="A189" s="264">
        <f>B189&amp;"-"&amp;C189</f>
        <v/>
      </c>
      <c r="B189" s="442" t="inlineStr">
        <is>
          <t>VI - Piedras y metales preciosos, joyas</t>
        </is>
      </c>
      <c r="C189" s="443" t="n">
        <v>9</v>
      </c>
      <c r="D189" s="264" t="inlineStr">
        <is>
          <t>Nacionalidad</t>
        </is>
      </c>
      <c r="E189" s="264" t="inlineStr">
        <is>
          <t>Nacionalidad de país o jurisdicción señalada por la UIF, o no determinada.</t>
        </is>
      </c>
      <c r="F189" s="264" t="inlineStr">
        <is>
          <t>Nacionalidad extranjera de país sin señalamiento.</t>
        </is>
      </c>
      <c r="G189" s="264" t="inlineStr">
        <is>
          <t>Nacionalidad mexicana.</t>
        </is>
      </c>
      <c r="H189" s="444" t="inlineStr">
        <is>
          <t>campo</t>
        </is>
      </c>
    </row>
    <row r="190" ht="18.75" customHeight="1" s="225">
      <c r="A190" s="264">
        <f>B190&amp;"-"&amp;C190</f>
        <v/>
      </c>
      <c r="B190" s="442" t="inlineStr">
        <is>
          <t>VI - Piedras y metales preciosos, joyas</t>
        </is>
      </c>
      <c r="C190" s="443" t="n">
        <v>10</v>
      </c>
      <c r="D190" s="264" t="inlineStr">
        <is>
          <t>País y entidad de residencia</t>
        </is>
      </c>
      <c r="E190" s="264" t="inlineStr">
        <is>
          <t>Residencia en jurisdicción de régimen fiscal preferente o señalada por deficiencias, o domicilio no verificable.</t>
        </is>
      </c>
      <c r="F190" s="264" t="inlineStr">
        <is>
          <t>Residencia en el extranjero sin señalamiento, o en entidad federativa señalada en la ENR.</t>
        </is>
      </c>
      <c r="G190" s="264" t="inlineStr">
        <is>
          <t>Residencia en México, en entidad federativa sin señalamiento en la ENR.</t>
        </is>
      </c>
      <c r="H190" s="444" t="inlineStr">
        <is>
          <t>campo</t>
        </is>
      </c>
    </row>
    <row r="191" ht="18.75" customHeight="1" s="225">
      <c r="A191" s="264">
        <f>B191&amp;"-"&amp;C191</f>
        <v/>
      </c>
      <c r="B191" s="442" t="inlineStr">
        <is>
          <t>VI - Piedras y metales preciosos, joyas</t>
        </is>
      </c>
      <c r="C191" s="443" t="n">
        <v>11</v>
      </c>
      <c r="D191" s="264" t="inlineStr">
        <is>
          <t>Condición de Persona Políticamente Expuesta</t>
        </is>
      </c>
      <c r="E191" s="264" t="inlineStr">
        <is>
          <t>Persona Políticamente Expuesta extranjera, o nacional cuyo comportamiento transaccional no corresponde con sus ingresos y funciones.</t>
        </is>
      </c>
      <c r="F191" s="264" t="inlineStr">
        <is>
          <t>Persona Políticamente Expuesta nacional con comportamiento congruente, o familiar o allegado de una.</t>
        </is>
      </c>
      <c r="G191" s="264" t="inlineStr">
        <is>
          <t>Sin condición de Persona Políticamente Expuesta, con búsqueda documentada.</t>
        </is>
      </c>
      <c r="H191" s="444" t="inlineStr">
        <is>
          <t>campo</t>
        </is>
      </c>
    </row>
    <row r="192" ht="18.75" customHeight="1" s="225">
      <c r="A192" s="264">
        <f>B192&amp;"-"&amp;C192</f>
        <v/>
      </c>
      <c r="B192" s="442" t="inlineStr">
        <is>
          <t>VI - Piedras y metales preciosos, joyas</t>
        </is>
      </c>
      <c r="C192" s="443" t="n">
        <v>12</v>
      </c>
      <c r="D192" s="264" t="inlineStr">
        <is>
          <t>Resultado de la búsqueda en listas</t>
        </is>
      </c>
      <c r="E192" s="264" t="inlineStr">
        <is>
          <t>Coincidencia positiva en listas de personas bloqueadas o de sanciones, o búsqueda no realizada o sin constancia.</t>
        </is>
      </c>
      <c r="F192" s="264" t="inlineStr">
        <is>
          <t>Coincidencia descartada por homonimia acreditada, con constancia.</t>
        </is>
      </c>
      <c r="G192" s="264" t="inlineStr">
        <is>
          <t>Sin coincidencia, con constancia de la búsqueda y su fecha.</t>
        </is>
      </c>
      <c r="H192" s="444" t="inlineStr">
        <is>
          <t>campo</t>
        </is>
      </c>
    </row>
    <row r="193" ht="18.75" customHeight="1" s="225">
      <c r="A193" s="264">
        <f>B193&amp;"-"&amp;C193</f>
        <v/>
      </c>
      <c r="B193" s="442" t="inlineStr">
        <is>
          <t>VI - Piedras y metales preciosos, joyas</t>
        </is>
      </c>
      <c r="C193" s="443" t="n">
        <v>13</v>
      </c>
      <c r="D193" s="264" t="inlineStr">
        <is>
          <t>Profundidad de la cadena de control</t>
        </is>
      </c>
      <c r="E193" s="264" t="inlineStr">
        <is>
          <t>No se logra identificar al Beneficiario Controlador de el comprador, o la cadena no es acreditable.</t>
        </is>
      </c>
      <c r="F193" s="264" t="inlineStr">
        <is>
          <t>El Beneficiario Controlador se identifica atravesando dos o más niveles societarios o fiduciarios.</t>
        </is>
      </c>
      <c r="G193" s="264" t="inlineStr">
        <is>
          <t>El Beneficiario Controlador se identifica en un solo nivel, o el comprador es su propio beneficiario.</t>
        </is>
      </c>
      <c r="H193" s="444" t="inlineStr">
        <is>
          <t>calculado</t>
        </is>
      </c>
    </row>
    <row r="194" ht="18.75" customHeight="1" s="225">
      <c r="A194" s="264">
        <f>B194&amp;"-"&amp;C194</f>
        <v/>
      </c>
      <c r="B194" s="442" t="inlineStr">
        <is>
          <t>VI - Piedras y metales preciosos, joyas</t>
        </is>
      </c>
      <c r="C194" s="443" t="n">
        <v>14</v>
      </c>
      <c r="D194" s="264" t="inlineStr">
        <is>
          <t>País donde se realiza la operación</t>
        </is>
      </c>
      <c r="E194" s="264" t="inlineStr">
        <is>
          <t>La compraventa de la pieza se pacta con o desde una jurisdicción de alto riesgo o no cooperante.</t>
        </is>
      </c>
      <c r="F194" s="264" t="inlineStr">
        <is>
          <t>La compraventa de la pieza se pacta con una jurisdicción extranjera sin señalamiento.</t>
        </is>
      </c>
      <c r="G194" s="264" t="inlineStr">
        <is>
          <t>La compraventa de la pieza se realiza íntegramente en México.</t>
        </is>
      </c>
      <c r="H194" s="444" t="inlineStr">
        <is>
          <t>campo</t>
        </is>
      </c>
    </row>
    <row r="195" ht="18.75" customHeight="1" s="225">
      <c r="A195" s="264">
        <f>B195&amp;"-"&amp;C195</f>
        <v/>
      </c>
      <c r="B195" s="442" t="inlineStr">
        <is>
          <t>VI - Piedras y metales preciosos, joyas</t>
        </is>
      </c>
      <c r="C195" s="443" t="n">
        <v>15</v>
      </c>
      <c r="D195" s="264" t="inlineStr">
        <is>
          <t>Entidad o municipio de la operación</t>
        </is>
      </c>
      <c r="E195" s="264" t="inlineStr">
        <is>
          <t>La compraventa de la pieza ocurre en un municipio o zona identificada de alto riesgo.</t>
        </is>
      </c>
      <c r="F195" s="264" t="inlineStr">
        <is>
          <t>La compraventa de la pieza ocurre en una entidad federativa con señalamiento en la ENR.</t>
        </is>
      </c>
      <c r="G195" s="264" t="inlineStr">
        <is>
          <t>La compraventa de la pieza ocurre en una entidad federativa sin señalamiento en la ENR.</t>
        </is>
      </c>
      <c r="H195" s="444" t="inlineStr">
        <is>
          <t>campo</t>
        </is>
      </c>
    </row>
    <row r="196" ht="18.75" customHeight="1" s="225">
      <c r="A196" s="264">
        <f>B196&amp;"-"&amp;C196</f>
        <v/>
      </c>
      <c r="B196" s="442" t="inlineStr">
        <is>
          <t>VI - Piedras y metales preciosos, joyas</t>
        </is>
      </c>
      <c r="C196" s="443" t="n">
        <v>16</v>
      </c>
      <c r="D196" s="264" t="inlineStr">
        <is>
          <t>Vínculo con jurisdicción sancionada o de acción requerida</t>
        </is>
      </c>
      <c r="E196" s="264" t="inlineStr">
        <is>
          <t>Hay exposición directa a una jurisdicción sancionada, en conflicto armado o de acción requerida del GAFI.</t>
        </is>
      </c>
      <c r="F196" s="264" t="inlineStr">
        <is>
          <t>La exposición es indirecta: una contraparte o la ruta de los fondos toca esa jurisdicción.</t>
        </is>
      </c>
      <c r="G196" s="264" t="inlineStr">
        <is>
          <t>Sin exposición a jurisdicciones sancionadas, en conflicto ni de acción requerida.</t>
        </is>
      </c>
      <c r="H196" s="444" t="inlineStr">
        <is>
          <t>campo</t>
        </is>
      </c>
    </row>
    <row r="197" ht="18.75" customHeight="1" s="225">
      <c r="A197" s="264">
        <f>B197&amp;"-"&amp;C197</f>
        <v/>
      </c>
      <c r="B197" s="442" t="inlineStr">
        <is>
          <t>VI - Piedras y metales preciosos, joyas</t>
        </is>
      </c>
      <c r="C197" s="443" t="n">
        <v>17</v>
      </c>
      <c r="D197" s="264" t="inlineStr">
        <is>
          <t>Coincidencia entre domicilio y lugar de la operación</t>
        </is>
      </c>
      <c r="E197" s="264" t="inlineStr">
        <is>
          <t>El domicilio de el comprador y el lugar de la compraventa de la pieza no coinciden, y no hay explicación documentada.</t>
        </is>
      </c>
      <c r="F197" s="264" t="inlineStr">
        <is>
          <t>No coinciden, pero consta por escrito la razón de operar en ese lugar.</t>
        </is>
      </c>
      <c r="G197" s="264" t="inlineStr">
        <is>
          <t>El domicilio de el comprador y el lugar de la compraventa de la pieza coinciden.</t>
        </is>
      </c>
      <c r="H197" s="444" t="inlineStr">
        <is>
          <t>calculado</t>
        </is>
      </c>
    </row>
    <row r="198" ht="18.75" customHeight="1" s="225">
      <c r="A198" s="264">
        <f>B198&amp;"-"&amp;C198</f>
        <v/>
      </c>
      <c r="B198" s="442" t="inlineStr">
        <is>
          <t>VI - Piedras y metales preciosos, joyas</t>
        </is>
      </c>
      <c r="C198" s="443" t="n">
        <v>18</v>
      </c>
      <c r="D198" s="264" t="inlineStr">
        <is>
          <t>Instrumento con que se paga</t>
        </is>
      </c>
      <c r="E198" s="264" t="inlineStr">
        <is>
          <t>Efectivo por encima de tu umbral interno, instrumento al portador, o pago en especie.</t>
        </is>
      </c>
      <c r="F198" s="264" t="inlineStr">
        <is>
          <t>Pago mixto, con un componente en efectivo por debajo de tu umbral interno.</t>
        </is>
      </c>
      <c r="G198" s="264" t="inlineStr">
        <is>
          <t>Transferencia electrónica o cheque nominativo desde una cuenta a nombre de el comprador.</t>
        </is>
      </c>
      <c r="H198" s="444" t="inlineStr">
        <is>
          <t>campo</t>
        </is>
      </c>
    </row>
    <row r="199" ht="18.75" customHeight="1" s="225">
      <c r="A199" s="264">
        <f>B199&amp;"-"&amp;C199</f>
        <v/>
      </c>
      <c r="B199" s="442" t="inlineStr">
        <is>
          <t>VI - Piedras y metales preciosos, joyas</t>
        </is>
      </c>
      <c r="C199" s="443" t="n">
        <v>19</v>
      </c>
      <c r="D199" s="264" t="inlineStr">
        <is>
          <t>Moneda de la operación</t>
        </is>
      </c>
      <c r="E199" s="264" t="inlineStr">
        <is>
          <t>Divisa distinta del dólar estadounidense y del euro, o activo virtual.</t>
        </is>
      </c>
      <c r="F199" s="264" t="inlineStr">
        <is>
          <t>Dólar estadounidense o euro, con soporte documental.</t>
        </is>
      </c>
      <c r="G199" s="264" t="inlineStr">
        <is>
          <t>Peso mexicano.</t>
        </is>
      </c>
      <c r="H199" s="444" t="inlineStr">
        <is>
          <t>campo</t>
        </is>
      </c>
    </row>
    <row r="200" ht="18.75" customHeight="1" s="225">
      <c r="A200" s="264">
        <f>B200&amp;"-"&amp;C200</f>
        <v/>
      </c>
      <c r="B200" s="442" t="inlineStr">
        <is>
          <t>VI - Piedras y metales preciosos, joyas</t>
        </is>
      </c>
      <c r="C200" s="443" t="n">
        <v>20</v>
      </c>
      <c r="D200" s="264" t="inlineStr">
        <is>
          <t>Monto frente al umbral de tu fracción</t>
        </is>
      </c>
      <c r="E200" s="264" t="inlineStr">
        <is>
          <t>La compraventa de la pieza iguala o supera el umbral de Aviso de tu fracción del artículo 17.</t>
        </is>
      </c>
      <c r="F200" s="264" t="inlineStr">
        <is>
          <t>La compraventa de la pieza se sitúa entre el umbral de identificación y el de Aviso.</t>
        </is>
      </c>
      <c r="G200" s="264" t="inlineStr">
        <is>
          <t>La compraventa de la pieza queda por debajo del umbral de identificación.</t>
        </is>
      </c>
      <c r="H200" s="444" t="inlineStr">
        <is>
          <t>calculado</t>
        </is>
      </c>
    </row>
    <row r="201" ht="18.75" customHeight="1" s="225">
      <c r="A201" s="264">
        <f>B201&amp;"-"&amp;C201</f>
        <v/>
      </c>
      <c r="B201" s="442" t="inlineStr">
        <is>
          <t>VI - Piedras y metales preciosos, joyas</t>
        </is>
      </c>
      <c r="C201" s="443" t="n">
        <v>21</v>
      </c>
      <c r="D201" s="264" t="inlineStr">
        <is>
          <t>Número y ritmo de operaciones en el periodo</t>
        </is>
      </c>
      <c r="E201" s="264" t="inlineStr">
        <is>
          <t>El comprador realiza cinco o más operaciones al año, o varias en intervalos cortos y regulares.</t>
        </is>
      </c>
      <c r="F201" s="264" t="inlineStr">
        <is>
          <t>El comprador realiza entre dos y cuatro operaciones al año.</t>
        </is>
      </c>
      <c r="G201" s="264" t="inlineStr">
        <is>
          <t>El comprador realiza una sola operación en el periodo.</t>
        </is>
      </c>
      <c r="H201" s="444" t="inlineStr">
        <is>
          <t>calculado</t>
        </is>
      </c>
    </row>
    <row r="202" ht="18.75" customHeight="1" s="225">
      <c r="A202" s="264">
        <f>B202&amp;"-"&amp;C202</f>
        <v/>
      </c>
      <c r="B202" s="442" t="inlineStr">
        <is>
          <t>VI - Piedras y metales preciosos, joyas</t>
        </is>
      </c>
      <c r="C202" s="443" t="n">
        <v>22</v>
      </c>
      <c r="D202" s="264" t="inlineStr">
        <is>
          <t>Canal: certeza de identificación del Cliente</t>
        </is>
      </c>
      <c r="E202" s="264" t="inlineStr">
        <is>
          <t>La operación llega por un gestor, plataforma o intermediario no acreditado: nadie responde por la identificación de el comprador, y quien opera puede no ser quien dice ser.</t>
        </is>
      </c>
      <c r="F202" s="264" t="inlineStr">
        <is>
          <t>Se identifica a el comprador de forma remota con verificación documental, o a través de un promotor o representante propio con contrato y responsable señalado.</t>
        </is>
      </c>
      <c r="G202" s="264" t="inlineStr">
        <is>
          <t>El comprador comparece de forma directa, o se le identifica en remoto con biometría y prueba de vida.</t>
        </is>
      </c>
      <c r="H202" s="444" t="inlineStr">
        <is>
          <t>campo</t>
        </is>
      </c>
    </row>
    <row r="203" ht="18.75" customHeight="1" s="225">
      <c r="A203" s="264">
        <f>B203&amp;"-"&amp;C203</f>
        <v/>
      </c>
      <c r="B203" s="442" t="inlineStr">
        <is>
          <t>VI - Piedras y metales preciosos, joyas</t>
        </is>
      </c>
      <c r="C203" s="443" t="n">
        <v>23</v>
      </c>
      <c r="D203" s="264" t="inlineStr">
        <is>
          <t>Acreditación del origen de los recursos</t>
        </is>
      </c>
      <c r="E203" s="264" t="inlineStr">
        <is>
          <t>El origen de los recursos se declara sin soporte documental, o no se manifiesta.</t>
        </is>
      </c>
      <c r="F203" s="264" t="inlineStr">
        <is>
          <t>El origen se declara y se acredita sólo de forma parcial.</t>
        </is>
      </c>
      <c r="G203" s="264" t="inlineStr">
        <is>
          <t>El origen se acredita con documentación verificable.</t>
        </is>
      </c>
      <c r="H203" s="444" t="inlineStr">
        <is>
          <t>bandera</t>
        </is>
      </c>
    </row>
    <row r="204" ht="18.75" customHeight="1" s="225">
      <c r="A204" s="264">
        <f>B204&amp;"-"&amp;C204</f>
        <v/>
      </c>
      <c r="B204" s="442" t="inlineStr">
        <is>
          <t>VI - Piedras y metales preciosos, joyas</t>
        </is>
      </c>
      <c r="C204" s="443" t="n">
        <v>24</v>
      </c>
      <c r="D204" s="264" t="inlineStr">
        <is>
          <t>Acreditación del destino de los recursos o del bien</t>
        </is>
      </c>
      <c r="E204" s="264" t="inlineStr">
        <is>
          <t>El destino no se manifiesta, o los recursos o la pieza pasan a un tercero no relacionado con el comprador.</t>
        </is>
      </c>
      <c r="F204" s="264" t="inlineStr">
        <is>
          <t>El destino se declara y es verificable.</t>
        </is>
      </c>
      <c r="G204" s="264" t="inlineStr">
        <is>
          <t>El destino es la pieza mismo, y queda registrado en la operación.</t>
        </is>
      </c>
      <c r="H204" s="444" t="inlineStr">
        <is>
          <t>bandera</t>
        </is>
      </c>
    </row>
    <row r="205" ht="18.75" customHeight="1" s="225">
      <c r="A205" s="264">
        <f>B205&amp;"-"&amp;C205</f>
        <v/>
      </c>
      <c r="B205" s="442" t="inlineStr">
        <is>
          <t>VI - Piedras y metales preciosos, joyas</t>
        </is>
      </c>
      <c r="C205" s="443" t="n">
        <v>25</v>
      </c>
      <c r="D205" s="264" t="inlineStr">
        <is>
          <t>Combinación de canal e instrumento idónea para el financiamiento al terrorismo</t>
        </is>
      </c>
      <c r="E205" s="264" t="inlineStr">
        <is>
          <t>La compraventa de la pieza combina contratación a distancia sin verificación reforzada con pagos en efectivo o instrumentos al portador.</t>
        </is>
      </c>
      <c r="F205" s="264" t="inlineStr">
        <is>
          <t>Concurre uno solo de los dos: o la contratación remota sin verificación reforzada, o el pago en instrumento no bancarizado.</t>
        </is>
      </c>
      <c r="G205" s="264" t="inlineStr">
        <is>
          <t>Ni la forma de contratar ni la de pagar permiten mover valor de forma anónima.</t>
        </is>
      </c>
      <c r="H205" s="444" t="inlineStr">
        <is>
          <t>bandera</t>
        </is>
      </c>
    </row>
    <row r="206" ht="18.75" customHeight="1" s="225">
      <c r="A206" s="264">
        <f>B206&amp;"-"&amp;C206</f>
        <v/>
      </c>
      <c r="B206" s="442" t="inlineStr">
        <is>
          <t>VII - Subasta/comercialización obras de arte</t>
        </is>
      </c>
      <c r="C206" s="443" t="n">
        <v>1</v>
      </c>
      <c r="D206" s="264" t="inlineStr">
        <is>
          <t>Valor unitario de la operación</t>
        </is>
      </c>
      <c r="E206" s="264" t="inlineStr">
        <is>
          <t>La obra tiene un valor unitario muy por encima del ticket promedio de tu operación de doce meses.</t>
        </is>
      </c>
      <c r="F206" s="264" t="inlineStr">
        <is>
          <t>La obra tiene un valor unitario dentro del rango habitual de tu operación.</t>
        </is>
      </c>
      <c r="G206" s="264" t="inlineStr">
        <is>
          <t>La obra tiene un valor unitario por debajo de tu ticket promedio.</t>
        </is>
      </c>
      <c r="H206" s="444" t="inlineStr">
        <is>
          <t>calculado</t>
        </is>
      </c>
    </row>
    <row r="207" ht="18.75" customHeight="1" s="225">
      <c r="A207" s="264">
        <f>B207&amp;"-"&amp;C207</f>
        <v/>
      </c>
      <c r="B207" s="442" t="inlineStr">
        <is>
          <t>VII - Subasta/comercialización obras de arte</t>
        </is>
      </c>
      <c r="C207" s="443" t="n">
        <v>2</v>
      </c>
      <c r="D207" s="264" t="inlineStr">
        <is>
          <t>Liquidez: facilidad de convertir en dinero</t>
        </is>
      </c>
      <c r="E207" s="264" t="inlineStr">
        <is>
          <t>La obra puede revenderse o cederse de inmediato y prácticamente a su valor íntegro.</t>
        </is>
      </c>
      <c r="F207" s="264" t="inlineStr">
        <is>
          <t>La obra puede revenderse, pero con trámite, plazo o pérdida de valor apreciable.</t>
        </is>
      </c>
      <c r="G207" s="264" t="inlineStr">
        <is>
          <t>La obra es difícil de revender: exige formalidades o registro, o pierde valor de forma significativa.</t>
        </is>
      </c>
      <c r="H207" s="444" t="inlineStr">
        <is>
          <t>bandera</t>
        </is>
      </c>
    </row>
    <row r="208" ht="18.75" customHeight="1" s="225">
      <c r="A208" s="264">
        <f>B208&amp;"-"&amp;C208</f>
        <v/>
      </c>
      <c r="B208" s="442" t="inlineStr">
        <is>
          <t>VII - Subasta/comercialización obras de arte</t>
        </is>
      </c>
      <c r="C208" s="443" t="n">
        <v>3</v>
      </c>
      <c r="D208" s="264" t="inlineStr">
        <is>
          <t>Anonimato: si el beneficiario queda a la vista</t>
        </is>
      </c>
      <c r="E208" s="264" t="inlineStr">
        <is>
          <t>La subasta o venta de la obra admite que quien aparece no sea quien recibe el beneficio, sin que quede registro de quién es el beneficiario final.</t>
        </is>
      </c>
      <c r="F208" s="264" t="inlineStr">
        <is>
          <t>Se identifica a el postor o comprador, pero el beneficiario final se declara sin documento que lo respalde.</t>
        </is>
      </c>
      <c r="G208" s="264" t="inlineStr">
        <is>
          <t>El postor o comprador y el beneficiario final coinciden, y ambos constan en el expediente.</t>
        </is>
      </c>
      <c r="H208" s="444" t="inlineStr">
        <is>
          <t>bandera</t>
        </is>
      </c>
    </row>
    <row r="209" ht="18.75" customHeight="1" s="225">
      <c r="A209" s="264">
        <f>B209&amp;"-"&amp;C209</f>
        <v/>
      </c>
      <c r="B209" s="442" t="inlineStr">
        <is>
          <t>VII - Subasta/comercialización obras de arte</t>
        </is>
      </c>
      <c r="C209" s="443" t="n">
        <v>4</v>
      </c>
      <c r="D209" s="264" t="inlineStr">
        <is>
          <t>Ocultamiento de valor en el precio</t>
        </is>
      </c>
      <c r="E209" s="264" t="inlineStr">
        <is>
          <t>La subasta o venta de la obra admite sobrevaluar, subvaluar o fraccionar el precio sin que la contabilidad lo refleje.</t>
        </is>
      </c>
      <c r="F209" s="264" t="inlineStr">
        <is>
          <t>El precio se aparta del valor de referencia, pero existe explicación documentada de la diferencia.</t>
        </is>
      </c>
      <c r="G209" s="264" t="inlineStr">
        <is>
          <t>El precio corresponde al valor de referencia y queda registrado en la contabilidad.</t>
        </is>
      </c>
      <c r="H209" s="444" t="inlineStr">
        <is>
          <t>bandera</t>
        </is>
      </c>
    </row>
    <row r="210" ht="18.75" customHeight="1" s="225">
      <c r="A210" s="264">
        <f>B210&amp;"-"&amp;C210</f>
        <v/>
      </c>
      <c r="B210" s="442" t="inlineStr">
        <is>
          <t>VII - Subasta/comercialización obras de arte</t>
        </is>
      </c>
      <c r="C210" s="443" t="n">
        <v>5</v>
      </c>
      <c r="D210" s="264" t="inlineStr">
        <is>
          <t>Exposición a personas señaladas por terrorismo</t>
        </is>
      </c>
      <c r="E210" s="264" t="inlineStr">
        <is>
          <t>El postor o comprador, su beneficiario o su contraparte aparece en listas de sanciones o de organizaciones terroristas.</t>
        </is>
      </c>
      <c r="F210" s="264" t="inlineStr">
        <is>
          <t>Existe un vínculo indirecto —contraparte, domicilio o ruta de los fondos— con una jurisdicción en conflicto o de acción requerida.</t>
        </is>
      </c>
      <c r="G210" s="264" t="inlineStr">
        <is>
          <t>Sin coincidencias ni vínculos con esas listas ni con jurisdicciones en conflicto, con búsqueda documentada.</t>
        </is>
      </c>
      <c r="H210" s="444" t="inlineStr">
        <is>
          <t>campo</t>
        </is>
      </c>
    </row>
    <row r="211" ht="18.75" customHeight="1" s="225">
      <c r="A211" s="264">
        <f>B211&amp;"-"&amp;C211</f>
        <v/>
      </c>
      <c r="B211" s="442" t="inlineStr">
        <is>
          <t>VII - Subasta/comercialización obras de arte</t>
        </is>
      </c>
      <c r="C211" s="443" t="n">
        <v>6</v>
      </c>
      <c r="D211" s="264" t="inlineStr">
        <is>
          <t>Tipo de persona</t>
        </is>
      </c>
      <c r="E211" s="264" t="inlineStr">
        <is>
          <t>El postor o comprador de la obra es un fideicomiso u otro vehículo sin personalidad jurídica propia. No hay un titular único: la figura permite que quien puja y quien se queda la pieza sean personas distintas y que ninguna aparezca en el contrato.</t>
        </is>
      </c>
      <c r="F211" s="264" t="inlineStr">
        <is>
          <t>El postor o comprador de la obra es persona moral. La voluntad se forma en órganos y la propiedad está en socios, así que hay que llegar al Beneficiario Controlador para saber quién está realmente detrás.</t>
        </is>
      </c>
      <c r="G211" s="264" t="inlineStr">
        <is>
          <t>El postor o comprador de la obra es persona física. Coincide quien puja y quien se queda la pieza, y la identificación es directa contra un solo expediente.</t>
        </is>
      </c>
      <c r="H211" s="444" t="inlineStr">
        <is>
          <t>campo</t>
        </is>
      </c>
    </row>
    <row r="212" ht="18.75" customHeight="1" s="225">
      <c r="A212" s="264">
        <f>B212&amp;"-"&amp;C212</f>
        <v/>
      </c>
      <c r="B212" s="442" t="inlineStr">
        <is>
          <t>VII - Subasta/comercialización obras de arte</t>
        </is>
      </c>
      <c r="C212" s="443" t="n">
        <v>7</v>
      </c>
      <c r="D212" s="264" t="inlineStr">
        <is>
          <t>Antigüedad del Cliente</t>
        </is>
      </c>
      <c r="E212" s="264" t="inlineStr">
        <is>
          <t>Persona moral constituida hace menos de dos años, o persona física menor de veintitrés años.</t>
        </is>
      </c>
      <c r="F212" s="264" t="inlineStr">
        <is>
          <t>Persona moral constituida hace entre dos y cinco años.</t>
        </is>
      </c>
      <c r="G212" s="264" t="inlineStr">
        <is>
          <t>Persona moral con más de cinco años de constituida, o persona física de veintitrés años en adelante.</t>
        </is>
      </c>
      <c r="H212" s="444" t="inlineStr">
        <is>
          <t>campo</t>
        </is>
      </c>
    </row>
    <row r="213" ht="18.75" customHeight="1" s="225">
      <c r="A213" s="264">
        <f>B213&amp;"-"&amp;C213</f>
        <v/>
      </c>
      <c r="B213" s="442" t="inlineStr">
        <is>
          <t>VII - Subasta/comercialización obras de arte</t>
        </is>
      </c>
      <c r="C213" s="443" t="n">
        <v>8</v>
      </c>
      <c r="D213" s="264" t="inlineStr">
        <is>
          <t>Giro o actividad declarada</t>
        </is>
      </c>
      <c r="E213" s="264" t="inlineStr">
        <is>
          <t>El giro que declara el postor o comprador es a su vez una Actividad Vulnerable del artículo 17, o no se acredita con documento alguno.</t>
        </is>
      </c>
      <c r="F213" s="264" t="inlineStr">
        <is>
          <t>El giro se declara y se acredita sólo de forma parcial.</t>
        </is>
      </c>
      <c r="G213" s="264" t="inlineStr">
        <is>
          <t>El giro se acredita con documento: constancia de situación fiscal, acta constitutiva o comprobante de empleo.</t>
        </is>
      </c>
      <c r="H213" s="444" t="inlineStr">
        <is>
          <t>campo</t>
        </is>
      </c>
    </row>
    <row r="214" ht="18.75" customHeight="1" s="225">
      <c r="A214" s="264">
        <f>B214&amp;"-"&amp;C214</f>
        <v/>
      </c>
      <c r="B214" s="442" t="inlineStr">
        <is>
          <t>VII - Subasta/comercialización obras de arte</t>
        </is>
      </c>
      <c r="C214" s="443" t="n">
        <v>9</v>
      </c>
      <c r="D214" s="264" t="inlineStr">
        <is>
          <t>Nacionalidad</t>
        </is>
      </c>
      <c r="E214" s="264" t="inlineStr">
        <is>
          <t>Nacionalidad de país o jurisdicción señalada por la UIF, o no determinada.</t>
        </is>
      </c>
      <c r="F214" s="264" t="inlineStr">
        <is>
          <t>Nacionalidad extranjera de país sin señalamiento.</t>
        </is>
      </c>
      <c r="G214" s="264" t="inlineStr">
        <is>
          <t>Nacionalidad mexicana.</t>
        </is>
      </c>
      <c r="H214" s="444" t="inlineStr">
        <is>
          <t>campo</t>
        </is>
      </c>
    </row>
    <row r="215" ht="18.75" customHeight="1" s="225">
      <c r="A215" s="264">
        <f>B215&amp;"-"&amp;C215</f>
        <v/>
      </c>
      <c r="B215" s="442" t="inlineStr">
        <is>
          <t>VII - Subasta/comercialización obras de arte</t>
        </is>
      </c>
      <c r="C215" s="443" t="n">
        <v>10</v>
      </c>
      <c r="D215" s="264" t="inlineStr">
        <is>
          <t>País y entidad de residencia</t>
        </is>
      </c>
      <c r="E215" s="264" t="inlineStr">
        <is>
          <t>Residencia en jurisdicción de régimen fiscal preferente o señalada por deficiencias, o domicilio no verificable.</t>
        </is>
      </c>
      <c r="F215" s="264" t="inlineStr">
        <is>
          <t>Residencia en el extranjero sin señalamiento, o en entidad federativa señalada en la ENR.</t>
        </is>
      </c>
      <c r="G215" s="264" t="inlineStr">
        <is>
          <t>Residencia en México, en entidad federativa sin señalamiento en la ENR.</t>
        </is>
      </c>
      <c r="H215" s="444" t="inlineStr">
        <is>
          <t>campo</t>
        </is>
      </c>
    </row>
    <row r="216" ht="18.75" customHeight="1" s="225">
      <c r="A216" s="264">
        <f>B216&amp;"-"&amp;C216</f>
        <v/>
      </c>
      <c r="B216" s="442" t="inlineStr">
        <is>
          <t>VII - Subasta/comercialización obras de arte</t>
        </is>
      </c>
      <c r="C216" s="443" t="n">
        <v>11</v>
      </c>
      <c r="D216" s="264" t="inlineStr">
        <is>
          <t>Condición de Persona Políticamente Expuesta</t>
        </is>
      </c>
      <c r="E216" s="264" t="inlineStr">
        <is>
          <t>Persona Políticamente Expuesta extranjera, o nacional cuyo comportamiento transaccional no corresponde con sus ingresos y funciones.</t>
        </is>
      </c>
      <c r="F216" s="264" t="inlineStr">
        <is>
          <t>Persona Políticamente Expuesta nacional con comportamiento congruente, o familiar o allegado de una.</t>
        </is>
      </c>
      <c r="G216" s="264" t="inlineStr">
        <is>
          <t>Sin condición de Persona Políticamente Expuesta, con búsqueda documentada.</t>
        </is>
      </c>
      <c r="H216" s="444" t="inlineStr">
        <is>
          <t>campo</t>
        </is>
      </c>
    </row>
    <row r="217" ht="18.75" customHeight="1" s="225">
      <c r="A217" s="264">
        <f>B217&amp;"-"&amp;C217</f>
        <v/>
      </c>
      <c r="B217" s="442" t="inlineStr">
        <is>
          <t>VII - Subasta/comercialización obras de arte</t>
        </is>
      </c>
      <c r="C217" s="443" t="n">
        <v>12</v>
      </c>
      <c r="D217" s="264" t="inlineStr">
        <is>
          <t>Resultado de la búsqueda en listas</t>
        </is>
      </c>
      <c r="E217" s="264" t="inlineStr">
        <is>
          <t>Coincidencia positiva en listas de personas bloqueadas o de sanciones, o búsqueda no realizada o sin constancia.</t>
        </is>
      </c>
      <c r="F217" s="264" t="inlineStr">
        <is>
          <t>Coincidencia descartada por homonimia acreditada, con constancia.</t>
        </is>
      </c>
      <c r="G217" s="264" t="inlineStr">
        <is>
          <t>Sin coincidencia, con constancia de la búsqueda y su fecha.</t>
        </is>
      </c>
      <c r="H217" s="444" t="inlineStr">
        <is>
          <t>campo</t>
        </is>
      </c>
    </row>
    <row r="218" ht="18.75" customHeight="1" s="225">
      <c r="A218" s="264">
        <f>B218&amp;"-"&amp;C218</f>
        <v/>
      </c>
      <c r="B218" s="442" t="inlineStr">
        <is>
          <t>VII - Subasta/comercialización obras de arte</t>
        </is>
      </c>
      <c r="C218" s="443" t="n">
        <v>13</v>
      </c>
      <c r="D218" s="264" t="inlineStr">
        <is>
          <t>Profundidad de la cadena de control</t>
        </is>
      </c>
      <c r="E218" s="264" t="inlineStr">
        <is>
          <t>No se logra identificar al Beneficiario Controlador de el postor o comprador, o la cadena no es acreditable.</t>
        </is>
      </c>
      <c r="F218" s="264" t="inlineStr">
        <is>
          <t>El Beneficiario Controlador se identifica atravesando dos o más niveles societarios o fiduciarios.</t>
        </is>
      </c>
      <c r="G218" s="264" t="inlineStr">
        <is>
          <t>El Beneficiario Controlador se identifica en un solo nivel, o el postor o comprador es su propio beneficiario.</t>
        </is>
      </c>
      <c r="H218" s="444" t="inlineStr">
        <is>
          <t>calculado</t>
        </is>
      </c>
    </row>
    <row r="219" ht="18.75" customHeight="1" s="225">
      <c r="A219" s="264">
        <f>B219&amp;"-"&amp;C219</f>
        <v/>
      </c>
      <c r="B219" s="442" t="inlineStr">
        <is>
          <t>VII - Subasta/comercialización obras de arte</t>
        </is>
      </c>
      <c r="C219" s="443" t="n">
        <v>14</v>
      </c>
      <c r="D219" s="264" t="inlineStr">
        <is>
          <t>País donde se realiza la operación</t>
        </is>
      </c>
      <c r="E219" s="264" t="inlineStr">
        <is>
          <t>La subasta o venta de la obra se pacta con o desde una jurisdicción de alto riesgo o no cooperante.</t>
        </is>
      </c>
      <c r="F219" s="264" t="inlineStr">
        <is>
          <t>La subasta o venta de la obra se pacta con una jurisdicción extranjera sin señalamiento.</t>
        </is>
      </c>
      <c r="G219" s="264" t="inlineStr">
        <is>
          <t>La subasta o venta de la obra se realiza íntegramente en México.</t>
        </is>
      </c>
      <c r="H219" s="444" t="inlineStr">
        <is>
          <t>campo</t>
        </is>
      </c>
    </row>
    <row r="220" ht="18.75" customHeight="1" s="225">
      <c r="A220" s="264">
        <f>B220&amp;"-"&amp;C220</f>
        <v/>
      </c>
      <c r="B220" s="442" t="inlineStr">
        <is>
          <t>VII - Subasta/comercialización obras de arte</t>
        </is>
      </c>
      <c r="C220" s="443" t="n">
        <v>15</v>
      </c>
      <c r="D220" s="264" t="inlineStr">
        <is>
          <t>Entidad o municipio de la operación</t>
        </is>
      </c>
      <c r="E220" s="264" t="inlineStr">
        <is>
          <t>La subasta o venta de la obra ocurre en un municipio o zona identificada de alto riesgo.</t>
        </is>
      </c>
      <c r="F220" s="264" t="inlineStr">
        <is>
          <t>La subasta o venta de la obra ocurre en una entidad federativa con señalamiento en la ENR.</t>
        </is>
      </c>
      <c r="G220" s="264" t="inlineStr">
        <is>
          <t>La subasta o venta de la obra ocurre en una entidad federativa sin señalamiento en la ENR.</t>
        </is>
      </c>
      <c r="H220" s="444" t="inlineStr">
        <is>
          <t>campo</t>
        </is>
      </c>
    </row>
    <row r="221" ht="18.75" customHeight="1" s="225">
      <c r="A221" s="264">
        <f>B221&amp;"-"&amp;C221</f>
        <v/>
      </c>
      <c r="B221" s="442" t="inlineStr">
        <is>
          <t>VII - Subasta/comercialización obras de arte</t>
        </is>
      </c>
      <c r="C221" s="443" t="n">
        <v>16</v>
      </c>
      <c r="D221" s="264" t="inlineStr">
        <is>
          <t>Vínculo con jurisdicción sancionada o de acción requerida</t>
        </is>
      </c>
      <c r="E221" s="264" t="inlineStr">
        <is>
          <t>Hay exposición directa a una jurisdicción sancionada, en conflicto armado o de acción requerida del GAFI.</t>
        </is>
      </c>
      <c r="F221" s="264" t="inlineStr">
        <is>
          <t>La exposición es indirecta: una contraparte o la ruta de los fondos toca esa jurisdicción.</t>
        </is>
      </c>
      <c r="G221" s="264" t="inlineStr">
        <is>
          <t>Sin exposición a jurisdicciones sancionadas, en conflicto ni de acción requerida.</t>
        </is>
      </c>
      <c r="H221" s="444" t="inlineStr">
        <is>
          <t>campo</t>
        </is>
      </c>
    </row>
    <row r="222" ht="18.75" customHeight="1" s="225">
      <c r="A222" s="264">
        <f>B222&amp;"-"&amp;C222</f>
        <v/>
      </c>
      <c r="B222" s="442" t="inlineStr">
        <is>
          <t>VII - Subasta/comercialización obras de arte</t>
        </is>
      </c>
      <c r="C222" s="443" t="n">
        <v>17</v>
      </c>
      <c r="D222" s="264" t="inlineStr">
        <is>
          <t>Coincidencia entre domicilio y lugar de la operación</t>
        </is>
      </c>
      <c r="E222" s="264" t="inlineStr">
        <is>
          <t>El domicilio de el postor o comprador y el lugar de la subasta o venta de la obra no coinciden, y no hay explicación documentada.</t>
        </is>
      </c>
      <c r="F222" s="264" t="inlineStr">
        <is>
          <t>No coinciden, pero consta por escrito la razón de operar en ese lugar.</t>
        </is>
      </c>
      <c r="G222" s="264" t="inlineStr">
        <is>
          <t>El domicilio de el postor o comprador y el lugar de la subasta o venta de la obra coinciden.</t>
        </is>
      </c>
      <c r="H222" s="444" t="inlineStr">
        <is>
          <t>calculado</t>
        </is>
      </c>
    </row>
    <row r="223" ht="18.75" customHeight="1" s="225">
      <c r="A223" s="264">
        <f>B223&amp;"-"&amp;C223</f>
        <v/>
      </c>
      <c r="B223" s="442" t="inlineStr">
        <is>
          <t>VII - Subasta/comercialización obras de arte</t>
        </is>
      </c>
      <c r="C223" s="443" t="n">
        <v>18</v>
      </c>
      <c r="D223" s="264" t="inlineStr">
        <is>
          <t>Instrumento con que se paga</t>
        </is>
      </c>
      <c r="E223" s="264" t="inlineStr">
        <is>
          <t>Efectivo por encima de tu umbral interno, instrumento al portador, o pago en especie.</t>
        </is>
      </c>
      <c r="F223" s="264" t="inlineStr">
        <is>
          <t>Pago mixto, con un componente en efectivo por debajo de tu umbral interno.</t>
        </is>
      </c>
      <c r="G223" s="264" t="inlineStr">
        <is>
          <t>Transferencia electrónica o cheque nominativo desde una cuenta a nombre de el postor o comprador.</t>
        </is>
      </c>
      <c r="H223" s="444" t="inlineStr">
        <is>
          <t>campo</t>
        </is>
      </c>
    </row>
    <row r="224" ht="18.75" customHeight="1" s="225">
      <c r="A224" s="264">
        <f>B224&amp;"-"&amp;C224</f>
        <v/>
      </c>
      <c r="B224" s="442" t="inlineStr">
        <is>
          <t>VII - Subasta/comercialización obras de arte</t>
        </is>
      </c>
      <c r="C224" s="443" t="n">
        <v>19</v>
      </c>
      <c r="D224" s="264" t="inlineStr">
        <is>
          <t>Moneda de la operación</t>
        </is>
      </c>
      <c r="E224" s="264" t="inlineStr">
        <is>
          <t>Divisa distinta del dólar estadounidense y del euro, o activo virtual.</t>
        </is>
      </c>
      <c r="F224" s="264" t="inlineStr">
        <is>
          <t>Dólar estadounidense o euro, con soporte documental.</t>
        </is>
      </c>
      <c r="G224" s="264" t="inlineStr">
        <is>
          <t>Peso mexicano.</t>
        </is>
      </c>
      <c r="H224" s="444" t="inlineStr">
        <is>
          <t>campo</t>
        </is>
      </c>
    </row>
    <row r="225" ht="18.75" customHeight="1" s="225">
      <c r="A225" s="264">
        <f>B225&amp;"-"&amp;C225</f>
        <v/>
      </c>
      <c r="B225" s="442" t="inlineStr">
        <is>
          <t>VII - Subasta/comercialización obras de arte</t>
        </is>
      </c>
      <c r="C225" s="443" t="n">
        <v>20</v>
      </c>
      <c r="D225" s="264" t="inlineStr">
        <is>
          <t>Monto frente al umbral de tu fracción</t>
        </is>
      </c>
      <c r="E225" s="264" t="inlineStr">
        <is>
          <t>La subasta o venta de la obra iguala o supera el umbral de Aviso de tu fracción del artículo 17.</t>
        </is>
      </c>
      <c r="F225" s="264" t="inlineStr">
        <is>
          <t>La subasta o venta de la obra se sitúa entre el umbral de identificación y el de Aviso.</t>
        </is>
      </c>
      <c r="G225" s="264" t="inlineStr">
        <is>
          <t>La subasta o venta de la obra queda por debajo del umbral de identificación.</t>
        </is>
      </c>
      <c r="H225" s="444" t="inlineStr">
        <is>
          <t>calculado</t>
        </is>
      </c>
    </row>
    <row r="226" ht="18.75" customHeight="1" s="225">
      <c r="A226" s="264">
        <f>B226&amp;"-"&amp;C226</f>
        <v/>
      </c>
      <c r="B226" s="442" t="inlineStr">
        <is>
          <t>VII - Subasta/comercialización obras de arte</t>
        </is>
      </c>
      <c r="C226" s="443" t="n">
        <v>21</v>
      </c>
      <c r="D226" s="264" t="inlineStr">
        <is>
          <t>Número y ritmo de operaciones en el periodo</t>
        </is>
      </c>
      <c r="E226" s="264" t="inlineStr">
        <is>
          <t>El postor o comprador realiza cinco o más operaciones al año, o varias en intervalos cortos y regulares.</t>
        </is>
      </c>
      <c r="F226" s="264" t="inlineStr">
        <is>
          <t>El postor o comprador realiza entre dos y cuatro operaciones al año.</t>
        </is>
      </c>
      <c r="G226" s="264" t="inlineStr">
        <is>
          <t>El postor o comprador realiza una sola operación en el periodo.</t>
        </is>
      </c>
      <c r="H226" s="444" t="inlineStr">
        <is>
          <t>calculado</t>
        </is>
      </c>
    </row>
    <row r="227" ht="18.75" customHeight="1" s="225">
      <c r="A227" s="264">
        <f>B227&amp;"-"&amp;C227</f>
        <v/>
      </c>
      <c r="B227" s="442" t="inlineStr">
        <is>
          <t>VII - Subasta/comercialización obras de arte</t>
        </is>
      </c>
      <c r="C227" s="443" t="n">
        <v>22</v>
      </c>
      <c r="D227" s="264" t="inlineStr">
        <is>
          <t>Canal: certeza de identificación del Cliente</t>
        </is>
      </c>
      <c r="E227" s="264" t="inlineStr">
        <is>
          <t>La operación llega por un gestor, plataforma o intermediario no acreditado: nadie responde por la identificación de el postor, y quien opera puede no ser quien dice ser.</t>
        </is>
      </c>
      <c r="F227" s="264" t="inlineStr">
        <is>
          <t>Se identifica a el postor de forma remota con verificación documental, o a través de un promotor o representante propio con contrato y responsable señalado.</t>
        </is>
      </c>
      <c r="G227" s="264" t="inlineStr">
        <is>
          <t>El postor comparece de forma directa, o se le identifica en remoto con biometría y prueba de vida.</t>
        </is>
      </c>
      <c r="H227" s="444" t="inlineStr">
        <is>
          <t>campo</t>
        </is>
      </c>
    </row>
    <row r="228" ht="18.75" customHeight="1" s="225">
      <c r="A228" s="264">
        <f>B228&amp;"-"&amp;C228</f>
        <v/>
      </c>
      <c r="B228" s="442" t="inlineStr">
        <is>
          <t>VII - Subasta/comercialización obras de arte</t>
        </is>
      </c>
      <c r="C228" s="443" t="n">
        <v>23</v>
      </c>
      <c r="D228" s="264" t="inlineStr">
        <is>
          <t>Acreditación del origen de los recursos</t>
        </is>
      </c>
      <c r="E228" s="264" t="inlineStr">
        <is>
          <t>El origen de los recursos se declara sin soporte documental, o no se manifiesta.</t>
        </is>
      </c>
      <c r="F228" s="264" t="inlineStr">
        <is>
          <t>El origen se declara y se acredita sólo de forma parcial.</t>
        </is>
      </c>
      <c r="G228" s="264" t="inlineStr">
        <is>
          <t>El origen se acredita con documentación verificable.</t>
        </is>
      </c>
      <c r="H228" s="444" t="inlineStr">
        <is>
          <t>bandera</t>
        </is>
      </c>
    </row>
    <row r="229" ht="18.75" customHeight="1" s="225">
      <c r="A229" s="264">
        <f>B229&amp;"-"&amp;C229</f>
        <v/>
      </c>
      <c r="B229" s="442" t="inlineStr">
        <is>
          <t>VII - Subasta/comercialización obras de arte</t>
        </is>
      </c>
      <c r="C229" s="443" t="n">
        <v>24</v>
      </c>
      <c r="D229" s="264" t="inlineStr">
        <is>
          <t>Acreditación del destino de los recursos o del bien</t>
        </is>
      </c>
      <c r="E229" s="264" t="inlineStr">
        <is>
          <t>El destino no se manifiesta, o los recursos o la obra pasan a un tercero no relacionado con el postor o comprador.</t>
        </is>
      </c>
      <c r="F229" s="264" t="inlineStr">
        <is>
          <t>El destino se declara y es verificable.</t>
        </is>
      </c>
      <c r="G229" s="264" t="inlineStr">
        <is>
          <t>El destino es la obra mismo, y queda registrado en la operación.</t>
        </is>
      </c>
      <c r="H229" s="444" t="inlineStr">
        <is>
          <t>bandera</t>
        </is>
      </c>
    </row>
    <row r="230" ht="18.75" customHeight="1" s="225">
      <c r="A230" s="264">
        <f>B230&amp;"-"&amp;C230</f>
        <v/>
      </c>
      <c r="B230" s="442" t="inlineStr">
        <is>
          <t>VII - Subasta/comercialización obras de arte</t>
        </is>
      </c>
      <c r="C230" s="443" t="n">
        <v>25</v>
      </c>
      <c r="D230" s="264" t="inlineStr">
        <is>
          <t>Combinación de canal e instrumento idónea para el financiamiento al terrorismo</t>
        </is>
      </c>
      <c r="E230" s="264" t="inlineStr">
        <is>
          <t>La subasta o venta de la obra combina contratación a distancia sin verificación reforzada con pagos en efectivo o instrumentos al portador.</t>
        </is>
      </c>
      <c r="F230" s="264" t="inlineStr">
        <is>
          <t>Concurre uno solo de los dos: o la contratación remota sin verificación reforzada, o el pago en instrumento no bancarizado.</t>
        </is>
      </c>
      <c r="G230" s="264" t="inlineStr">
        <is>
          <t>Ni la forma de contratar ni la de pagar permiten mover valor de forma anónima.</t>
        </is>
      </c>
      <c r="H230" s="444" t="inlineStr">
        <is>
          <t>bandera</t>
        </is>
      </c>
    </row>
    <row r="231" ht="18.75" customHeight="1" s="225">
      <c r="A231" s="264">
        <f>B231&amp;"-"&amp;C231</f>
        <v/>
      </c>
      <c r="B231" s="442" t="inlineStr">
        <is>
          <t>VIII - Distribución/comercialización vehículos</t>
        </is>
      </c>
      <c r="C231" s="443" t="n">
        <v>1</v>
      </c>
      <c r="D231" s="264" t="inlineStr">
        <is>
          <t>Valor unitario de la operación</t>
        </is>
      </c>
      <c r="E231" s="264" t="inlineStr">
        <is>
          <t>El vehículo tiene un valor unitario muy por encima del ticket promedio de tu operación de doce meses.</t>
        </is>
      </c>
      <c r="F231" s="264" t="inlineStr">
        <is>
          <t>El vehículo tiene un valor unitario dentro del rango habitual de tu operación.</t>
        </is>
      </c>
      <c r="G231" s="264" t="inlineStr">
        <is>
          <t>El vehículo tiene un valor unitario por debajo de tu ticket promedio.</t>
        </is>
      </c>
      <c r="H231" s="444" t="inlineStr">
        <is>
          <t>calculado</t>
        </is>
      </c>
    </row>
    <row r="232" ht="18.75" customHeight="1" s="225">
      <c r="A232" s="264">
        <f>B232&amp;"-"&amp;C232</f>
        <v/>
      </c>
      <c r="B232" s="442" t="inlineStr">
        <is>
          <t>VIII - Distribución/comercialización vehículos</t>
        </is>
      </c>
      <c r="C232" s="443" t="n">
        <v>2</v>
      </c>
      <c r="D232" s="264" t="inlineStr">
        <is>
          <t>Liquidez: facilidad de convertir en dinero</t>
        </is>
      </c>
      <c r="E232" s="264" t="inlineStr">
        <is>
          <t>El vehículo puede revenderse o cederse de inmediato y prácticamente a su valor íntegro.</t>
        </is>
      </c>
      <c r="F232" s="264" t="inlineStr">
        <is>
          <t>El vehículo puede revenderse, pero con trámite, plazo o pérdida de valor apreciable.</t>
        </is>
      </c>
      <c r="G232" s="264" t="inlineStr">
        <is>
          <t>El vehículo es difícil de revender: exige formalidades o registro, o pierde valor de forma significativa.</t>
        </is>
      </c>
      <c r="H232" s="444" t="inlineStr">
        <is>
          <t>bandera</t>
        </is>
      </c>
    </row>
    <row r="233" ht="18.75" customHeight="1" s="225">
      <c r="A233" s="264">
        <f>B233&amp;"-"&amp;C233</f>
        <v/>
      </c>
      <c r="B233" s="442" t="inlineStr">
        <is>
          <t>VIII - Distribución/comercialización vehículos</t>
        </is>
      </c>
      <c r="C233" s="443" t="n">
        <v>3</v>
      </c>
      <c r="D233" s="264" t="inlineStr">
        <is>
          <t>Anonimato: si el beneficiario queda a la vista</t>
        </is>
      </c>
      <c r="E233" s="264" t="inlineStr">
        <is>
          <t>La compraventa del vehículo admite que quien aparece no sea quien recibe el beneficio, sin que quede registro de quién es el beneficiario final.</t>
        </is>
      </c>
      <c r="F233" s="264" t="inlineStr">
        <is>
          <t>Se identifica a el adquirente, pero el beneficiario final se declara sin documento que lo respalde.</t>
        </is>
      </c>
      <c r="G233" s="264" t="inlineStr">
        <is>
          <t>El adquirente y el beneficiario final coinciden, y ambos constan en el expediente.</t>
        </is>
      </c>
      <c r="H233" s="444" t="inlineStr">
        <is>
          <t>bandera</t>
        </is>
      </c>
    </row>
    <row r="234" ht="18.75" customHeight="1" s="225">
      <c r="A234" s="264">
        <f>B234&amp;"-"&amp;C234</f>
        <v/>
      </c>
      <c r="B234" s="442" t="inlineStr">
        <is>
          <t>VIII - Distribución/comercialización vehículos</t>
        </is>
      </c>
      <c r="C234" s="443" t="n">
        <v>4</v>
      </c>
      <c r="D234" s="264" t="inlineStr">
        <is>
          <t>Ocultamiento de valor en el precio</t>
        </is>
      </c>
      <c r="E234" s="264" t="inlineStr">
        <is>
          <t>La compraventa del vehículo admite sobrevaluar, subvaluar o fraccionar el precio sin que la contabilidad lo refleje.</t>
        </is>
      </c>
      <c r="F234" s="264" t="inlineStr">
        <is>
          <t>El precio se aparta del valor de referencia, pero existe explicación documentada de la diferencia.</t>
        </is>
      </c>
      <c r="G234" s="264" t="inlineStr">
        <is>
          <t>El precio corresponde al valor de referencia y queda registrado en la contabilidad.</t>
        </is>
      </c>
      <c r="H234" s="444" t="inlineStr">
        <is>
          <t>bandera</t>
        </is>
      </c>
    </row>
    <row r="235" ht="18.75" customHeight="1" s="225">
      <c r="A235" s="264">
        <f>B235&amp;"-"&amp;C235</f>
        <v/>
      </c>
      <c r="B235" s="442" t="inlineStr">
        <is>
          <t>VIII - Distribución/comercialización vehículos</t>
        </is>
      </c>
      <c r="C235" s="443" t="n">
        <v>5</v>
      </c>
      <c r="D235" s="264" t="inlineStr">
        <is>
          <t>Exposición a personas señaladas por terrorismo</t>
        </is>
      </c>
      <c r="E235" s="264" t="inlineStr">
        <is>
          <t>El adquirente, su beneficiario o su contraparte aparece en listas de sanciones o de organizaciones terroristas.</t>
        </is>
      </c>
      <c r="F235" s="264" t="inlineStr">
        <is>
          <t>Existe un vínculo indirecto —contraparte, domicilio o ruta de los fondos— con una jurisdicción en conflicto o de acción requerida.</t>
        </is>
      </c>
      <c r="G235" s="264" t="inlineStr">
        <is>
          <t>Sin coincidencias ni vínculos con esas listas ni con jurisdicciones en conflicto, con búsqueda documentada.</t>
        </is>
      </c>
      <c r="H235" s="444" t="inlineStr">
        <is>
          <t>campo</t>
        </is>
      </c>
    </row>
    <row r="236" ht="18.75" customHeight="1" s="225">
      <c r="A236" s="264">
        <f>B236&amp;"-"&amp;C236</f>
        <v/>
      </c>
      <c r="B236" s="442" t="inlineStr">
        <is>
          <t>VIII - Distribución/comercialización vehículos</t>
        </is>
      </c>
      <c r="C236" s="443" t="n">
        <v>6</v>
      </c>
      <c r="D236" s="264" t="inlineStr">
        <is>
          <t>Tipo de persona</t>
        </is>
      </c>
      <c r="E236" s="264" t="inlineStr">
        <is>
          <t>El adquirente del vehículo es un fideicomiso u otro vehículo sin personalidad jurídica propia. No hay un titular único: la figura permite que quien paga y quien queda como propietario sean personas distintas y que ninguna aparezca en el contrato.</t>
        </is>
      </c>
      <c r="F236" s="264" t="inlineStr">
        <is>
          <t>El adquirente del vehículo es persona moral. La voluntad se forma en órganos y la propiedad está en socios, así que hay que llegar al Beneficiario Controlador para saber quién está realmente detrás.</t>
        </is>
      </c>
      <c r="G236" s="264" t="inlineStr">
        <is>
          <t>El adquirente del vehículo es persona física. Coincide quien paga y quien queda como propietario, y la identificación es directa contra un solo expediente.</t>
        </is>
      </c>
      <c r="H236" s="444" t="inlineStr">
        <is>
          <t>campo</t>
        </is>
      </c>
    </row>
    <row r="237" ht="18.75" customHeight="1" s="225">
      <c r="A237" s="264">
        <f>B237&amp;"-"&amp;C237</f>
        <v/>
      </c>
      <c r="B237" s="442" t="inlineStr">
        <is>
          <t>VIII - Distribución/comercialización vehículos</t>
        </is>
      </c>
      <c r="C237" s="443" t="n">
        <v>7</v>
      </c>
      <c r="D237" s="264" t="inlineStr">
        <is>
          <t>Antigüedad del Cliente</t>
        </is>
      </c>
      <c r="E237" s="264" t="inlineStr">
        <is>
          <t>Persona moral constituida hace menos de dos años, o persona física menor de veintitrés años.</t>
        </is>
      </c>
      <c r="F237" s="264" t="inlineStr">
        <is>
          <t>Persona moral constituida hace entre dos y cinco años.</t>
        </is>
      </c>
      <c r="G237" s="264" t="inlineStr">
        <is>
          <t>Persona moral con más de cinco años de constituida, o persona física de veintitrés años en adelante.</t>
        </is>
      </c>
      <c r="H237" s="444" t="inlineStr">
        <is>
          <t>campo</t>
        </is>
      </c>
    </row>
    <row r="238" ht="18.75" customHeight="1" s="225">
      <c r="A238" s="264">
        <f>B238&amp;"-"&amp;C238</f>
        <v/>
      </c>
      <c r="B238" s="442" t="inlineStr">
        <is>
          <t>VIII - Distribución/comercialización vehículos</t>
        </is>
      </c>
      <c r="C238" s="443" t="n">
        <v>8</v>
      </c>
      <c r="D238" s="264" t="inlineStr">
        <is>
          <t>Giro o actividad declarada</t>
        </is>
      </c>
      <c r="E238" s="264" t="inlineStr">
        <is>
          <t>El giro que declara el adquirente es a su vez una Actividad Vulnerable del artículo 17, o no se acredita con documento alguno.</t>
        </is>
      </c>
      <c r="F238" s="264" t="inlineStr">
        <is>
          <t>El giro se declara y se acredita sólo de forma parcial.</t>
        </is>
      </c>
      <c r="G238" s="264" t="inlineStr">
        <is>
          <t>El giro se acredita con documento: constancia de situación fiscal, acta constitutiva o comprobante de empleo.</t>
        </is>
      </c>
      <c r="H238" s="444" t="inlineStr">
        <is>
          <t>campo</t>
        </is>
      </c>
    </row>
    <row r="239" ht="18.75" customHeight="1" s="225">
      <c r="A239" s="264">
        <f>B239&amp;"-"&amp;C239</f>
        <v/>
      </c>
      <c r="B239" s="442" t="inlineStr">
        <is>
          <t>VIII - Distribución/comercialización vehículos</t>
        </is>
      </c>
      <c r="C239" s="443" t="n">
        <v>9</v>
      </c>
      <c r="D239" s="264" t="inlineStr">
        <is>
          <t>Nacionalidad</t>
        </is>
      </c>
      <c r="E239" s="264" t="inlineStr">
        <is>
          <t>Nacionalidad de país o jurisdicción señalada por la UIF, o no determinada.</t>
        </is>
      </c>
      <c r="F239" s="264" t="inlineStr">
        <is>
          <t>Nacionalidad extranjera de país sin señalamiento.</t>
        </is>
      </c>
      <c r="G239" s="264" t="inlineStr">
        <is>
          <t>Nacionalidad mexicana.</t>
        </is>
      </c>
      <c r="H239" s="444" t="inlineStr">
        <is>
          <t>campo</t>
        </is>
      </c>
    </row>
    <row r="240" ht="18.75" customHeight="1" s="225">
      <c r="A240" s="264">
        <f>B240&amp;"-"&amp;C240</f>
        <v/>
      </c>
      <c r="B240" s="442" t="inlineStr">
        <is>
          <t>VIII - Distribución/comercialización vehículos</t>
        </is>
      </c>
      <c r="C240" s="443" t="n">
        <v>10</v>
      </c>
      <c r="D240" s="264" t="inlineStr">
        <is>
          <t>País y entidad de residencia</t>
        </is>
      </c>
      <c r="E240" s="264" t="inlineStr">
        <is>
          <t>Residencia en jurisdicción de régimen fiscal preferente o señalada por deficiencias, o domicilio no verificable.</t>
        </is>
      </c>
      <c r="F240" s="264" t="inlineStr">
        <is>
          <t>Residencia en el extranjero sin señalamiento, o en entidad federativa señalada en la ENR.</t>
        </is>
      </c>
      <c r="G240" s="264" t="inlineStr">
        <is>
          <t>Residencia en México, en entidad federativa sin señalamiento en la ENR.</t>
        </is>
      </c>
      <c r="H240" s="444" t="inlineStr">
        <is>
          <t>campo</t>
        </is>
      </c>
    </row>
    <row r="241" ht="18.75" customHeight="1" s="225">
      <c r="A241" s="264">
        <f>B241&amp;"-"&amp;C241</f>
        <v/>
      </c>
      <c r="B241" s="442" t="inlineStr">
        <is>
          <t>VIII - Distribución/comercialización vehículos</t>
        </is>
      </c>
      <c r="C241" s="443" t="n">
        <v>11</v>
      </c>
      <c r="D241" s="264" t="inlineStr">
        <is>
          <t>Condición de Persona Políticamente Expuesta</t>
        </is>
      </c>
      <c r="E241" s="264" t="inlineStr">
        <is>
          <t>Persona Políticamente Expuesta extranjera, o nacional cuyo comportamiento transaccional no corresponde con sus ingresos y funciones.</t>
        </is>
      </c>
      <c r="F241" s="264" t="inlineStr">
        <is>
          <t>Persona Políticamente Expuesta nacional con comportamiento congruente, o familiar o allegado de una.</t>
        </is>
      </c>
      <c r="G241" s="264" t="inlineStr">
        <is>
          <t>Sin condición de Persona Políticamente Expuesta, con búsqueda documentada.</t>
        </is>
      </c>
      <c r="H241" s="444" t="inlineStr">
        <is>
          <t>campo</t>
        </is>
      </c>
    </row>
    <row r="242" ht="18.75" customHeight="1" s="225">
      <c r="A242" s="264">
        <f>B242&amp;"-"&amp;C242</f>
        <v/>
      </c>
      <c r="B242" s="442" t="inlineStr">
        <is>
          <t>VIII - Distribución/comercialización vehículos</t>
        </is>
      </c>
      <c r="C242" s="443" t="n">
        <v>12</v>
      </c>
      <c r="D242" s="264" t="inlineStr">
        <is>
          <t>Resultado de la búsqueda en listas</t>
        </is>
      </c>
      <c r="E242" s="264" t="inlineStr">
        <is>
          <t>Coincidencia positiva en listas de personas bloqueadas o de sanciones, o búsqueda no realizada o sin constancia.</t>
        </is>
      </c>
      <c r="F242" s="264" t="inlineStr">
        <is>
          <t>Coincidencia descartada por homonimia acreditada, con constancia.</t>
        </is>
      </c>
      <c r="G242" s="264" t="inlineStr">
        <is>
          <t>Sin coincidencia, con constancia de la búsqueda y su fecha.</t>
        </is>
      </c>
      <c r="H242" s="444" t="inlineStr">
        <is>
          <t>campo</t>
        </is>
      </c>
    </row>
    <row r="243" ht="18.75" customHeight="1" s="225">
      <c r="A243" s="264">
        <f>B243&amp;"-"&amp;C243</f>
        <v/>
      </c>
      <c r="B243" s="442" t="inlineStr">
        <is>
          <t>VIII - Distribución/comercialización vehículos</t>
        </is>
      </c>
      <c r="C243" s="443" t="n">
        <v>13</v>
      </c>
      <c r="D243" s="264" t="inlineStr">
        <is>
          <t>Profundidad de la cadena de control</t>
        </is>
      </c>
      <c r="E243" s="264" t="inlineStr">
        <is>
          <t>No se logra identificar al Beneficiario Controlador de el adquirente, o la cadena no es acreditable.</t>
        </is>
      </c>
      <c r="F243" s="264" t="inlineStr">
        <is>
          <t>El Beneficiario Controlador se identifica atravesando dos o más niveles societarios o fiduciarios.</t>
        </is>
      </c>
      <c r="G243" s="264" t="inlineStr">
        <is>
          <t>El Beneficiario Controlador se identifica en un solo nivel, o el adquirente es su propio beneficiario.</t>
        </is>
      </c>
      <c r="H243" s="444" t="inlineStr">
        <is>
          <t>calculado</t>
        </is>
      </c>
    </row>
    <row r="244" ht="18.75" customHeight="1" s="225">
      <c r="A244" s="264">
        <f>B244&amp;"-"&amp;C244</f>
        <v/>
      </c>
      <c r="B244" s="442" t="inlineStr">
        <is>
          <t>VIII - Distribución/comercialización vehículos</t>
        </is>
      </c>
      <c r="C244" s="443" t="n">
        <v>14</v>
      </c>
      <c r="D244" s="264" t="inlineStr">
        <is>
          <t>País donde se realiza la operación</t>
        </is>
      </c>
      <c r="E244" s="264" t="inlineStr">
        <is>
          <t>La compraventa del vehículo se pacta con o desde una jurisdicción de alto riesgo o no cooperante.</t>
        </is>
      </c>
      <c r="F244" s="264" t="inlineStr">
        <is>
          <t>La compraventa del vehículo se pacta con una jurisdicción extranjera sin señalamiento.</t>
        </is>
      </c>
      <c r="G244" s="264" t="inlineStr">
        <is>
          <t>La compraventa del vehículo se realiza íntegramente en México.</t>
        </is>
      </c>
      <c r="H244" s="444" t="inlineStr">
        <is>
          <t>campo</t>
        </is>
      </c>
    </row>
    <row r="245" ht="18.75" customHeight="1" s="225">
      <c r="A245" s="264">
        <f>B245&amp;"-"&amp;C245</f>
        <v/>
      </c>
      <c r="B245" s="442" t="inlineStr">
        <is>
          <t>VIII - Distribución/comercialización vehículos</t>
        </is>
      </c>
      <c r="C245" s="443" t="n">
        <v>15</v>
      </c>
      <c r="D245" s="264" t="inlineStr">
        <is>
          <t>Entidad o municipio de la operación</t>
        </is>
      </c>
      <c r="E245" s="264" t="inlineStr">
        <is>
          <t>La compraventa del vehículo ocurre en un municipio o zona identificada de alto riesgo.</t>
        </is>
      </c>
      <c r="F245" s="264" t="inlineStr">
        <is>
          <t>La compraventa del vehículo ocurre en una entidad federativa con señalamiento en la ENR.</t>
        </is>
      </c>
      <c r="G245" s="264" t="inlineStr">
        <is>
          <t>La compraventa del vehículo ocurre en una entidad federativa sin señalamiento en la ENR.</t>
        </is>
      </c>
      <c r="H245" s="444" t="inlineStr">
        <is>
          <t>campo</t>
        </is>
      </c>
    </row>
    <row r="246" ht="18.75" customHeight="1" s="225">
      <c r="A246" s="264">
        <f>B246&amp;"-"&amp;C246</f>
        <v/>
      </c>
      <c r="B246" s="442" t="inlineStr">
        <is>
          <t>VIII - Distribución/comercialización vehículos</t>
        </is>
      </c>
      <c r="C246" s="443" t="n">
        <v>16</v>
      </c>
      <c r="D246" s="264" t="inlineStr">
        <is>
          <t>Vínculo con jurisdicción sancionada o de acción requerida</t>
        </is>
      </c>
      <c r="E246" s="264" t="inlineStr">
        <is>
          <t>Hay exposición directa a una jurisdicción sancionada, en conflicto armado o de acción requerida del GAFI.</t>
        </is>
      </c>
      <c r="F246" s="264" t="inlineStr">
        <is>
          <t>La exposición es indirecta: una contraparte o la ruta de los fondos toca esa jurisdicción.</t>
        </is>
      </c>
      <c r="G246" s="264" t="inlineStr">
        <is>
          <t>Sin exposición a jurisdicciones sancionadas, en conflicto ni de acción requerida.</t>
        </is>
      </c>
      <c r="H246" s="444" t="inlineStr">
        <is>
          <t>campo</t>
        </is>
      </c>
    </row>
    <row r="247" ht="18.75" customHeight="1" s="225">
      <c r="A247" s="264">
        <f>B247&amp;"-"&amp;C247</f>
        <v/>
      </c>
      <c r="B247" s="442" t="inlineStr">
        <is>
          <t>VIII - Distribución/comercialización vehículos</t>
        </is>
      </c>
      <c r="C247" s="443" t="n">
        <v>17</v>
      </c>
      <c r="D247" s="264" t="inlineStr">
        <is>
          <t>Coincidencia entre domicilio y lugar de la operación</t>
        </is>
      </c>
      <c r="E247" s="264" t="inlineStr">
        <is>
          <t>El domicilio de el adquirente y el lugar de la compraventa del vehículo no coinciden, y no hay explicación documentada.</t>
        </is>
      </c>
      <c r="F247" s="264" t="inlineStr">
        <is>
          <t>No coinciden, pero consta por escrito la razón de operar en ese lugar.</t>
        </is>
      </c>
      <c r="G247" s="264" t="inlineStr">
        <is>
          <t>El domicilio de el adquirente y el lugar de la compraventa del vehículo coinciden.</t>
        </is>
      </c>
      <c r="H247" s="444" t="inlineStr">
        <is>
          <t>calculado</t>
        </is>
      </c>
    </row>
    <row r="248" ht="18.75" customHeight="1" s="225">
      <c r="A248" s="264">
        <f>B248&amp;"-"&amp;C248</f>
        <v/>
      </c>
      <c r="B248" s="442" t="inlineStr">
        <is>
          <t>VIII - Distribución/comercialización vehículos</t>
        </is>
      </c>
      <c r="C248" s="443" t="n">
        <v>18</v>
      </c>
      <c r="D248" s="264" t="inlineStr">
        <is>
          <t>Instrumento con que se paga</t>
        </is>
      </c>
      <c r="E248" s="264" t="inlineStr">
        <is>
          <t>Efectivo por encima de tu umbral interno, instrumento al portador, o pago en especie.</t>
        </is>
      </c>
      <c r="F248" s="264" t="inlineStr">
        <is>
          <t>Pago mixto, con un componente en efectivo por debajo de tu umbral interno.</t>
        </is>
      </c>
      <c r="G248" s="264" t="inlineStr">
        <is>
          <t>Transferencia electrónica o cheque nominativo desde una cuenta a nombre de el adquirente.</t>
        </is>
      </c>
      <c r="H248" s="444" t="inlineStr">
        <is>
          <t>campo</t>
        </is>
      </c>
    </row>
    <row r="249" ht="18.75" customHeight="1" s="225">
      <c r="A249" s="264">
        <f>B249&amp;"-"&amp;C249</f>
        <v/>
      </c>
      <c r="B249" s="442" t="inlineStr">
        <is>
          <t>VIII - Distribución/comercialización vehículos</t>
        </is>
      </c>
      <c r="C249" s="443" t="n">
        <v>19</v>
      </c>
      <c r="D249" s="264" t="inlineStr">
        <is>
          <t>Moneda de la operación</t>
        </is>
      </c>
      <c r="E249" s="264" t="inlineStr">
        <is>
          <t>Divisa distinta del dólar estadounidense y del euro, o activo virtual.</t>
        </is>
      </c>
      <c r="F249" s="264" t="inlineStr">
        <is>
          <t>Dólar estadounidense o euro, con soporte documental.</t>
        </is>
      </c>
      <c r="G249" s="264" t="inlineStr">
        <is>
          <t>Peso mexicano.</t>
        </is>
      </c>
      <c r="H249" s="444" t="inlineStr">
        <is>
          <t>campo</t>
        </is>
      </c>
    </row>
    <row r="250" ht="18.75" customHeight="1" s="225">
      <c r="A250" s="264">
        <f>B250&amp;"-"&amp;C250</f>
        <v/>
      </c>
      <c r="B250" s="442" t="inlineStr">
        <is>
          <t>VIII - Distribución/comercialización vehículos</t>
        </is>
      </c>
      <c r="C250" s="443" t="n">
        <v>20</v>
      </c>
      <c r="D250" s="264" t="inlineStr">
        <is>
          <t>Monto frente al umbral de tu fracción</t>
        </is>
      </c>
      <c r="E250" s="264" t="inlineStr">
        <is>
          <t>La compraventa del vehículo iguala o supera el umbral de Aviso de tu fracción del artículo 17.</t>
        </is>
      </c>
      <c r="F250" s="264" t="inlineStr">
        <is>
          <t>La compraventa del vehículo se sitúa entre el umbral de identificación y el de Aviso.</t>
        </is>
      </c>
      <c r="G250" s="264" t="inlineStr">
        <is>
          <t>La compraventa del vehículo queda por debajo del umbral de identificación.</t>
        </is>
      </c>
      <c r="H250" s="444" t="inlineStr">
        <is>
          <t>calculado</t>
        </is>
      </c>
    </row>
    <row r="251" ht="18.75" customHeight="1" s="225">
      <c r="A251" s="264">
        <f>B251&amp;"-"&amp;C251</f>
        <v/>
      </c>
      <c r="B251" s="442" t="inlineStr">
        <is>
          <t>VIII - Distribución/comercialización vehículos</t>
        </is>
      </c>
      <c r="C251" s="443" t="n">
        <v>21</v>
      </c>
      <c r="D251" s="264" t="inlineStr">
        <is>
          <t>Número y ritmo de operaciones en el periodo</t>
        </is>
      </c>
      <c r="E251" s="264" t="inlineStr">
        <is>
          <t>El adquirente realiza cinco o más operaciones al año, o varias en intervalos cortos y regulares.</t>
        </is>
      </c>
      <c r="F251" s="264" t="inlineStr">
        <is>
          <t>El adquirente realiza entre dos y cuatro operaciones al año.</t>
        </is>
      </c>
      <c r="G251" s="264" t="inlineStr">
        <is>
          <t>El adquirente realiza una sola operación en el periodo.</t>
        </is>
      </c>
      <c r="H251" s="444" t="inlineStr">
        <is>
          <t>calculado</t>
        </is>
      </c>
    </row>
    <row r="252" ht="18.75" customHeight="1" s="225">
      <c r="A252" s="264">
        <f>B252&amp;"-"&amp;C252</f>
        <v/>
      </c>
      <c r="B252" s="442" t="inlineStr">
        <is>
          <t>VIII - Distribución/comercialización vehículos</t>
        </is>
      </c>
      <c r="C252" s="443" t="n">
        <v>22</v>
      </c>
      <c r="D252" s="264" t="inlineStr">
        <is>
          <t>Canal: certeza de identificación del Cliente</t>
        </is>
      </c>
      <c r="E252" s="264" t="inlineStr">
        <is>
          <t>La operación llega por un gestor, plataforma o intermediario no acreditado: nadie responde por la identificación de el adquirente, y quien opera puede no ser quien dice ser.</t>
        </is>
      </c>
      <c r="F252" s="264" t="inlineStr">
        <is>
          <t>Se identifica a el adquirente de forma remota con verificación documental, o a través de un promotor o representante propio con contrato y responsable señalado.</t>
        </is>
      </c>
      <c r="G252" s="264" t="inlineStr">
        <is>
          <t>El adquirente comparece de forma directa, o se le identifica en remoto con biometría y prueba de vida.</t>
        </is>
      </c>
      <c r="H252" s="444" t="inlineStr">
        <is>
          <t>campo</t>
        </is>
      </c>
    </row>
    <row r="253" ht="18.75" customHeight="1" s="225">
      <c r="A253" s="264">
        <f>B253&amp;"-"&amp;C253</f>
        <v/>
      </c>
      <c r="B253" s="442" t="inlineStr">
        <is>
          <t>VIII - Distribución/comercialización vehículos</t>
        </is>
      </c>
      <c r="C253" s="443" t="n">
        <v>23</v>
      </c>
      <c r="D253" s="264" t="inlineStr">
        <is>
          <t>Acreditación del origen de los recursos</t>
        </is>
      </c>
      <c r="E253" s="264" t="inlineStr">
        <is>
          <t>El origen de los recursos se declara sin soporte documental, o no se manifiesta.</t>
        </is>
      </c>
      <c r="F253" s="264" t="inlineStr">
        <is>
          <t>El origen se declara y se acredita sólo de forma parcial.</t>
        </is>
      </c>
      <c r="G253" s="264" t="inlineStr">
        <is>
          <t>El origen se acredita con documentación verificable.</t>
        </is>
      </c>
      <c r="H253" s="444" t="inlineStr">
        <is>
          <t>bandera</t>
        </is>
      </c>
    </row>
    <row r="254" ht="18.75" customHeight="1" s="225">
      <c r="A254" s="264">
        <f>B254&amp;"-"&amp;C254</f>
        <v/>
      </c>
      <c r="B254" s="442" t="inlineStr">
        <is>
          <t>VIII - Distribución/comercialización vehículos</t>
        </is>
      </c>
      <c r="C254" s="443" t="n">
        <v>24</v>
      </c>
      <c r="D254" s="264" t="inlineStr">
        <is>
          <t>Acreditación del destino de los recursos o del bien</t>
        </is>
      </c>
      <c r="E254" s="264" t="inlineStr">
        <is>
          <t>El destino no se manifiesta, o los recursos o el vehículo pasan a un tercero no relacionado con el adquirente.</t>
        </is>
      </c>
      <c r="F254" s="264" t="inlineStr">
        <is>
          <t>El destino se declara y es verificable.</t>
        </is>
      </c>
      <c r="G254" s="264" t="inlineStr">
        <is>
          <t>El destino es el vehículo mismo, y queda registrado en la operación.</t>
        </is>
      </c>
      <c r="H254" s="444" t="inlineStr">
        <is>
          <t>bandera</t>
        </is>
      </c>
    </row>
    <row r="255" ht="18.75" customHeight="1" s="225">
      <c r="A255" s="264">
        <f>B255&amp;"-"&amp;C255</f>
        <v/>
      </c>
      <c r="B255" s="442" t="inlineStr">
        <is>
          <t>VIII - Distribución/comercialización vehículos</t>
        </is>
      </c>
      <c r="C255" s="443" t="n">
        <v>25</v>
      </c>
      <c r="D255" s="264" t="inlineStr">
        <is>
          <t>Combinación de canal e instrumento idónea para el financiamiento al terrorismo</t>
        </is>
      </c>
      <c r="E255" s="264" t="inlineStr">
        <is>
          <t>La compraventa del vehículo combina contratación a distancia sin verificación reforzada con pagos en efectivo o instrumentos al portador.</t>
        </is>
      </c>
      <c r="F255" s="264" t="inlineStr">
        <is>
          <t>Concurre uno solo de los dos: o la contratación remota sin verificación reforzada, o el pago en instrumento no bancarizado.</t>
        </is>
      </c>
      <c r="G255" s="264" t="inlineStr">
        <is>
          <t>Ni la forma de contratar ni la de pagar permiten mover valor de forma anónima.</t>
        </is>
      </c>
      <c r="H255" s="444" t="inlineStr">
        <is>
          <t>bandera</t>
        </is>
      </c>
    </row>
    <row r="256" ht="18.75" customHeight="1" s="225">
      <c r="A256" s="264">
        <f>B256&amp;"-"&amp;C256</f>
        <v/>
      </c>
      <c r="B256" s="442" t="inlineStr">
        <is>
          <t>IX - Servicios de blindaje</t>
        </is>
      </c>
      <c r="C256" s="443" t="n">
        <v>1</v>
      </c>
      <c r="D256" s="264" t="inlineStr">
        <is>
          <t>Valor unitario de la operación</t>
        </is>
      </c>
      <c r="E256" s="264" t="inlineStr">
        <is>
          <t>El servicio de blindaje tiene un valor unitario muy por encima del ticket promedio de tu operación de doce meses.</t>
        </is>
      </c>
      <c r="F256" s="264" t="inlineStr">
        <is>
          <t>El servicio de blindaje tiene un valor unitario dentro del rango habitual de tu operación.</t>
        </is>
      </c>
      <c r="G256" s="264" t="inlineStr">
        <is>
          <t>El servicio de blindaje tiene un valor unitario por debajo de tu ticket promedio.</t>
        </is>
      </c>
      <c r="H256" s="444" t="inlineStr">
        <is>
          <t>calculado</t>
        </is>
      </c>
    </row>
    <row r="257" ht="18.75" customHeight="1" s="225">
      <c r="A257" s="264">
        <f>B257&amp;"-"&amp;C257</f>
        <v/>
      </c>
      <c r="B257" s="442" t="inlineStr">
        <is>
          <t>IX - Servicios de blindaje</t>
        </is>
      </c>
      <c r="C257" s="443" t="n">
        <v>2</v>
      </c>
      <c r="D257" s="264" t="inlineStr">
        <is>
          <t>Liquidez: facilidad de convertir en dinero</t>
        </is>
      </c>
      <c r="E257" s="264" t="inlineStr">
        <is>
          <t>El servicio de blindaje puede revenderse o cederse de inmediato y prácticamente a su valor íntegro.</t>
        </is>
      </c>
      <c r="F257" s="264" t="inlineStr">
        <is>
          <t>El servicio de blindaje puede revenderse, pero con trámite, plazo o pérdida de valor apreciable.</t>
        </is>
      </c>
      <c r="G257" s="264" t="inlineStr">
        <is>
          <t>El servicio de blindaje es difícil de revender: exige formalidades o registro, o pierde valor de forma significativa.</t>
        </is>
      </c>
      <c r="H257" s="444" t="inlineStr">
        <is>
          <t>bandera</t>
        </is>
      </c>
    </row>
    <row r="258" ht="18.75" customHeight="1" s="225">
      <c r="A258" s="264">
        <f>B258&amp;"-"&amp;C258</f>
        <v/>
      </c>
      <c r="B258" s="442" t="inlineStr">
        <is>
          <t>IX - Servicios de blindaje</t>
        </is>
      </c>
      <c r="C258" s="443" t="n">
        <v>3</v>
      </c>
      <c r="D258" s="264" t="inlineStr">
        <is>
          <t>Anonimato: si el beneficiario queda a la vista</t>
        </is>
      </c>
      <c r="E258" s="264" t="inlineStr">
        <is>
          <t>La contratación del blindaje admite que quien aparece no sea quien recibe el beneficio, sin que quede registro de quién es el beneficiario final.</t>
        </is>
      </c>
      <c r="F258" s="264" t="inlineStr">
        <is>
          <t>Se identifica a quien contrata el blindaje, pero el beneficiario final se declara sin documento que lo respalde.</t>
        </is>
      </c>
      <c r="G258" s="264" t="inlineStr">
        <is>
          <t>Quien contrata el blindaje y el beneficiario final coinciden, y ambos constan en el expediente.</t>
        </is>
      </c>
      <c r="H258" s="444" t="inlineStr">
        <is>
          <t>bandera</t>
        </is>
      </c>
    </row>
    <row r="259" ht="18.75" customHeight="1" s="225">
      <c r="A259" s="264">
        <f>B259&amp;"-"&amp;C259</f>
        <v/>
      </c>
      <c r="B259" s="442" t="inlineStr">
        <is>
          <t>IX - Servicios de blindaje</t>
        </is>
      </c>
      <c r="C259" s="443" t="n">
        <v>4</v>
      </c>
      <c r="D259" s="264" t="inlineStr">
        <is>
          <t>Ocultamiento de valor en el precio</t>
        </is>
      </c>
      <c r="E259" s="264" t="inlineStr">
        <is>
          <t>La contratación del blindaje admite sobrevaluar, subvaluar o fraccionar el precio sin que la contabilidad lo refleje.</t>
        </is>
      </c>
      <c r="F259" s="264" t="inlineStr">
        <is>
          <t>El precio se aparta del valor de referencia, pero existe explicación documentada de la diferencia.</t>
        </is>
      </c>
      <c r="G259" s="264" t="inlineStr">
        <is>
          <t>El precio corresponde al valor de referencia y queda registrado en la contabilidad.</t>
        </is>
      </c>
      <c r="H259" s="444" t="inlineStr">
        <is>
          <t>bandera</t>
        </is>
      </c>
    </row>
    <row r="260" ht="18.75" customHeight="1" s="225">
      <c r="A260" s="264">
        <f>B260&amp;"-"&amp;C260</f>
        <v/>
      </c>
      <c r="B260" s="442" t="inlineStr">
        <is>
          <t>IX - Servicios de blindaje</t>
        </is>
      </c>
      <c r="C260" s="443" t="n">
        <v>5</v>
      </c>
      <c r="D260" s="264" t="inlineStr">
        <is>
          <t>Exposición a personas señaladas por terrorismo</t>
        </is>
      </c>
      <c r="E260" s="264" t="inlineStr">
        <is>
          <t>Quien contrata el blindaje, su beneficiario o su contraparte aparece en listas de sanciones o de organizaciones terroristas.</t>
        </is>
      </c>
      <c r="F260" s="264" t="inlineStr">
        <is>
          <t>Existe un vínculo indirecto —contraparte, domicilio o ruta de los fondos— con una jurisdicción en conflicto o de acción requerida.</t>
        </is>
      </c>
      <c r="G260" s="264" t="inlineStr">
        <is>
          <t>Sin coincidencias ni vínculos con esas listas ni con jurisdicciones en conflicto, con búsqueda documentada.</t>
        </is>
      </c>
      <c r="H260" s="444" t="inlineStr">
        <is>
          <t>campo</t>
        </is>
      </c>
    </row>
    <row r="261" ht="18.75" customHeight="1" s="225">
      <c r="A261" s="264">
        <f>B261&amp;"-"&amp;C261</f>
        <v/>
      </c>
      <c r="B261" s="442" t="inlineStr">
        <is>
          <t>IX - Servicios de blindaje</t>
        </is>
      </c>
      <c r="C261" s="443" t="n">
        <v>6</v>
      </c>
      <c r="D261" s="264" t="inlineStr">
        <is>
          <t>Tipo de persona</t>
        </is>
      </c>
      <c r="E261" s="264" t="inlineStr">
        <is>
          <t>Quien contrata el blindaje es un fideicomiso u otro vehículo sin personalidad jurídica propia. No hay un titular único: la figura permite que quien paga y quien usa el vehículo blindado sean personas distintas y que ninguna aparezca en el contrato.</t>
        </is>
      </c>
      <c r="F261" s="264" t="inlineStr">
        <is>
          <t>Quien contrata el blindaje es persona moral. La voluntad se forma en órganos y la propiedad está en socios, así que hay que llegar al Beneficiario Controlador para saber quién está realmente detrás.</t>
        </is>
      </c>
      <c r="G261" s="264" t="inlineStr">
        <is>
          <t>Quien contrata el blindaje es persona física. Coincide quien paga y quien usa el vehículo blindado, y la identificación es directa contra un solo expediente.</t>
        </is>
      </c>
      <c r="H261" s="444" t="inlineStr">
        <is>
          <t>campo</t>
        </is>
      </c>
    </row>
    <row r="262" ht="18.75" customHeight="1" s="225">
      <c r="A262" s="264">
        <f>B262&amp;"-"&amp;C262</f>
        <v/>
      </c>
      <c r="B262" s="442" t="inlineStr">
        <is>
          <t>IX - Servicios de blindaje</t>
        </is>
      </c>
      <c r="C262" s="443" t="n">
        <v>7</v>
      </c>
      <c r="D262" s="264" t="inlineStr">
        <is>
          <t>Antigüedad del Cliente</t>
        </is>
      </c>
      <c r="E262" s="264" t="inlineStr">
        <is>
          <t>Persona moral constituida hace menos de dos años, o persona física menor de veintitrés años.</t>
        </is>
      </c>
      <c r="F262" s="264" t="inlineStr">
        <is>
          <t>Persona moral constituida hace entre dos y cinco años.</t>
        </is>
      </c>
      <c r="G262" s="264" t="inlineStr">
        <is>
          <t>Persona moral con más de cinco años de constituida, o persona física de veintitrés años en adelante.</t>
        </is>
      </c>
      <c r="H262" s="444" t="inlineStr">
        <is>
          <t>campo</t>
        </is>
      </c>
    </row>
    <row r="263" ht="18.75" customHeight="1" s="225">
      <c r="A263" s="264">
        <f>B263&amp;"-"&amp;C263</f>
        <v/>
      </c>
      <c r="B263" s="442" t="inlineStr">
        <is>
          <t>IX - Servicios de blindaje</t>
        </is>
      </c>
      <c r="C263" s="443" t="n">
        <v>8</v>
      </c>
      <c r="D263" s="264" t="inlineStr">
        <is>
          <t>Giro o actividad declarada</t>
        </is>
      </c>
      <c r="E263" s="264" t="inlineStr">
        <is>
          <t>El giro que declara quien contrata el blindaje es a su vez una Actividad Vulnerable del artículo 17, o no se acredita con documento alguno.</t>
        </is>
      </c>
      <c r="F263" s="264" t="inlineStr">
        <is>
          <t>El giro se declara y se acredita sólo de forma parcial.</t>
        </is>
      </c>
      <c r="G263" s="264" t="inlineStr">
        <is>
          <t>El giro se acredita con documento: constancia de situación fiscal, acta constitutiva o comprobante de empleo.</t>
        </is>
      </c>
      <c r="H263" s="444" t="inlineStr">
        <is>
          <t>campo</t>
        </is>
      </c>
    </row>
    <row r="264" ht="18.75" customHeight="1" s="225">
      <c r="A264" s="264">
        <f>B264&amp;"-"&amp;C264</f>
        <v/>
      </c>
      <c r="B264" s="442" t="inlineStr">
        <is>
          <t>IX - Servicios de blindaje</t>
        </is>
      </c>
      <c r="C264" s="443" t="n">
        <v>9</v>
      </c>
      <c r="D264" s="264" t="inlineStr">
        <is>
          <t>Nacionalidad</t>
        </is>
      </c>
      <c r="E264" s="264" t="inlineStr">
        <is>
          <t>Nacionalidad de país o jurisdicción señalada por la UIF, o no determinada.</t>
        </is>
      </c>
      <c r="F264" s="264" t="inlineStr">
        <is>
          <t>Nacionalidad extranjera de país sin señalamiento.</t>
        </is>
      </c>
      <c r="G264" s="264" t="inlineStr">
        <is>
          <t>Nacionalidad mexicana.</t>
        </is>
      </c>
      <c r="H264" s="444" t="inlineStr">
        <is>
          <t>campo</t>
        </is>
      </c>
    </row>
    <row r="265" ht="18.75" customHeight="1" s="225">
      <c r="A265" s="264">
        <f>B265&amp;"-"&amp;C265</f>
        <v/>
      </c>
      <c r="B265" s="442" t="inlineStr">
        <is>
          <t>IX - Servicios de blindaje</t>
        </is>
      </c>
      <c r="C265" s="443" t="n">
        <v>10</v>
      </c>
      <c r="D265" s="264" t="inlineStr">
        <is>
          <t>País y entidad de residencia</t>
        </is>
      </c>
      <c r="E265" s="264" t="inlineStr">
        <is>
          <t>Residencia en jurisdicción de régimen fiscal preferente o señalada por deficiencias, o domicilio no verificable.</t>
        </is>
      </c>
      <c r="F265" s="264" t="inlineStr">
        <is>
          <t>Residencia en el extranjero sin señalamiento, o en entidad federativa señalada en la ENR.</t>
        </is>
      </c>
      <c r="G265" s="264" t="inlineStr">
        <is>
          <t>Residencia en México, en entidad federativa sin señalamiento en la ENR.</t>
        </is>
      </c>
      <c r="H265" s="444" t="inlineStr">
        <is>
          <t>campo</t>
        </is>
      </c>
    </row>
    <row r="266" ht="18.75" customHeight="1" s="225">
      <c r="A266" s="264">
        <f>B266&amp;"-"&amp;C266</f>
        <v/>
      </c>
      <c r="B266" s="442" t="inlineStr">
        <is>
          <t>IX - Servicios de blindaje</t>
        </is>
      </c>
      <c r="C266" s="443" t="n">
        <v>11</v>
      </c>
      <c r="D266" s="264" t="inlineStr">
        <is>
          <t>Condición de Persona Políticamente Expuesta</t>
        </is>
      </c>
      <c r="E266" s="264" t="inlineStr">
        <is>
          <t>Persona Políticamente Expuesta extranjera, o nacional cuyo comportamiento transaccional no corresponde con sus ingresos y funciones.</t>
        </is>
      </c>
      <c r="F266" s="264" t="inlineStr">
        <is>
          <t>Persona Políticamente Expuesta nacional con comportamiento congruente, o familiar o allegado de una.</t>
        </is>
      </c>
      <c r="G266" s="264" t="inlineStr">
        <is>
          <t>Sin condición de Persona Políticamente Expuesta, con búsqueda documentada.</t>
        </is>
      </c>
      <c r="H266" s="444" t="inlineStr">
        <is>
          <t>campo</t>
        </is>
      </c>
    </row>
    <row r="267" ht="18.75" customHeight="1" s="225">
      <c r="A267" s="264">
        <f>B267&amp;"-"&amp;C267</f>
        <v/>
      </c>
      <c r="B267" s="442" t="inlineStr">
        <is>
          <t>IX - Servicios de blindaje</t>
        </is>
      </c>
      <c r="C267" s="443" t="n">
        <v>12</v>
      </c>
      <c r="D267" s="264" t="inlineStr">
        <is>
          <t>Resultado de la búsqueda en listas</t>
        </is>
      </c>
      <c r="E267" s="264" t="inlineStr">
        <is>
          <t>Coincidencia positiva en listas de personas bloqueadas o de sanciones, o búsqueda no realizada o sin constancia.</t>
        </is>
      </c>
      <c r="F267" s="264" t="inlineStr">
        <is>
          <t>Coincidencia descartada por homonimia acreditada, con constancia.</t>
        </is>
      </c>
      <c r="G267" s="264" t="inlineStr">
        <is>
          <t>Sin coincidencia, con constancia de la búsqueda y su fecha.</t>
        </is>
      </c>
      <c r="H267" s="444" t="inlineStr">
        <is>
          <t>campo</t>
        </is>
      </c>
    </row>
    <row r="268" ht="18.75" customHeight="1" s="225">
      <c r="A268" s="264">
        <f>B268&amp;"-"&amp;C268</f>
        <v/>
      </c>
      <c r="B268" s="442" t="inlineStr">
        <is>
          <t>IX - Servicios de blindaje</t>
        </is>
      </c>
      <c r="C268" s="443" t="n">
        <v>13</v>
      </c>
      <c r="D268" s="264" t="inlineStr">
        <is>
          <t>Profundidad de la cadena de control</t>
        </is>
      </c>
      <c r="E268" s="264" t="inlineStr">
        <is>
          <t>No se logra identificar al Beneficiario Controlador de quien contrata el blindaje, o la cadena no es acreditable.</t>
        </is>
      </c>
      <c r="F268" s="264" t="inlineStr">
        <is>
          <t>El Beneficiario Controlador se identifica atravesando dos o más niveles societarios o fiduciarios.</t>
        </is>
      </c>
      <c r="G268" s="264" t="inlineStr">
        <is>
          <t>El Beneficiario Controlador se identifica en un solo nivel, o quien contrata el blindaje es su propio beneficiario.</t>
        </is>
      </c>
      <c r="H268" s="444" t="inlineStr">
        <is>
          <t>calculado</t>
        </is>
      </c>
    </row>
    <row r="269" ht="18.75" customHeight="1" s="225">
      <c r="A269" s="264">
        <f>B269&amp;"-"&amp;C269</f>
        <v/>
      </c>
      <c r="B269" s="442" t="inlineStr">
        <is>
          <t>IX - Servicios de blindaje</t>
        </is>
      </c>
      <c r="C269" s="443" t="n">
        <v>14</v>
      </c>
      <c r="D269" s="264" t="inlineStr">
        <is>
          <t>País donde se realiza la operación</t>
        </is>
      </c>
      <c r="E269" s="264" t="inlineStr">
        <is>
          <t>La contratación del blindaje se pacta con o desde una jurisdicción de alto riesgo o no cooperante.</t>
        </is>
      </c>
      <c r="F269" s="264" t="inlineStr">
        <is>
          <t>La contratación del blindaje se pacta con una jurisdicción extranjera sin señalamiento.</t>
        </is>
      </c>
      <c r="G269" s="264" t="inlineStr">
        <is>
          <t>La contratación del blindaje se realiza íntegramente en México.</t>
        </is>
      </c>
      <c r="H269" s="444" t="inlineStr">
        <is>
          <t>campo</t>
        </is>
      </c>
    </row>
    <row r="270" ht="18.75" customHeight="1" s="225">
      <c r="A270" s="264">
        <f>B270&amp;"-"&amp;C270</f>
        <v/>
      </c>
      <c r="B270" s="442" t="inlineStr">
        <is>
          <t>IX - Servicios de blindaje</t>
        </is>
      </c>
      <c r="C270" s="443" t="n">
        <v>15</v>
      </c>
      <c r="D270" s="264" t="inlineStr">
        <is>
          <t>Entidad o municipio de la operación</t>
        </is>
      </c>
      <c r="E270" s="264" t="inlineStr">
        <is>
          <t>La contratación del blindaje ocurre en un municipio o zona identificada de alto riesgo.</t>
        </is>
      </c>
      <c r="F270" s="264" t="inlineStr">
        <is>
          <t>La contratación del blindaje ocurre en una entidad federativa con señalamiento en la ENR.</t>
        </is>
      </c>
      <c r="G270" s="264" t="inlineStr">
        <is>
          <t>La contratación del blindaje ocurre en una entidad federativa sin señalamiento en la ENR.</t>
        </is>
      </c>
      <c r="H270" s="444" t="inlineStr">
        <is>
          <t>campo</t>
        </is>
      </c>
    </row>
    <row r="271" ht="18.75" customHeight="1" s="225">
      <c r="A271" s="264">
        <f>B271&amp;"-"&amp;C271</f>
        <v/>
      </c>
      <c r="B271" s="442" t="inlineStr">
        <is>
          <t>IX - Servicios de blindaje</t>
        </is>
      </c>
      <c r="C271" s="443" t="n">
        <v>16</v>
      </c>
      <c r="D271" s="264" t="inlineStr">
        <is>
          <t>Vínculo con jurisdicción sancionada o de acción requerida</t>
        </is>
      </c>
      <c r="E271" s="264" t="inlineStr">
        <is>
          <t>Hay exposición directa a una jurisdicción sancionada, en conflicto armado o de acción requerida del GAFI.</t>
        </is>
      </c>
      <c r="F271" s="264" t="inlineStr">
        <is>
          <t>La exposición es indirecta: una contraparte o la ruta de los fondos toca esa jurisdicción.</t>
        </is>
      </c>
      <c r="G271" s="264" t="inlineStr">
        <is>
          <t>Sin exposición a jurisdicciones sancionadas, en conflicto ni de acción requerida.</t>
        </is>
      </c>
      <c r="H271" s="444" t="inlineStr">
        <is>
          <t>campo</t>
        </is>
      </c>
    </row>
    <row r="272" ht="18.75" customHeight="1" s="225">
      <c r="A272" s="264">
        <f>B272&amp;"-"&amp;C272</f>
        <v/>
      </c>
      <c r="B272" s="442" t="inlineStr">
        <is>
          <t>IX - Servicios de blindaje</t>
        </is>
      </c>
      <c r="C272" s="443" t="n">
        <v>17</v>
      </c>
      <c r="D272" s="264" t="inlineStr">
        <is>
          <t>Coincidencia entre domicilio y lugar de la operación</t>
        </is>
      </c>
      <c r="E272" s="264" t="inlineStr">
        <is>
          <t>El domicilio de quien contrata el blindaje y el lugar de la contratación del blindaje no coinciden, y no hay explicación documentada.</t>
        </is>
      </c>
      <c r="F272" s="264" t="inlineStr">
        <is>
          <t>No coinciden, pero consta por escrito la razón de operar en ese lugar.</t>
        </is>
      </c>
      <c r="G272" s="264" t="inlineStr">
        <is>
          <t>El domicilio de quien contrata el blindaje y el lugar de la contratación del blindaje coinciden.</t>
        </is>
      </c>
      <c r="H272" s="444" t="inlineStr">
        <is>
          <t>calculado</t>
        </is>
      </c>
    </row>
    <row r="273" ht="18.75" customHeight="1" s="225">
      <c r="A273" s="264">
        <f>B273&amp;"-"&amp;C273</f>
        <v/>
      </c>
      <c r="B273" s="442" t="inlineStr">
        <is>
          <t>IX - Servicios de blindaje</t>
        </is>
      </c>
      <c r="C273" s="443" t="n">
        <v>18</v>
      </c>
      <c r="D273" s="264" t="inlineStr">
        <is>
          <t>Instrumento con que se paga</t>
        </is>
      </c>
      <c r="E273" s="264" t="inlineStr">
        <is>
          <t>Efectivo por encima de tu umbral interno, instrumento al portador, o pago en especie.</t>
        </is>
      </c>
      <c r="F273" s="264" t="inlineStr">
        <is>
          <t>Pago mixto, con un componente en efectivo por debajo de tu umbral interno.</t>
        </is>
      </c>
      <c r="G273" s="264" t="inlineStr">
        <is>
          <t>Transferencia electrónica o cheque nominativo desde una cuenta a nombre de quien contrata el blindaje.</t>
        </is>
      </c>
      <c r="H273" s="444" t="inlineStr">
        <is>
          <t>campo</t>
        </is>
      </c>
    </row>
    <row r="274" ht="18.75" customHeight="1" s="225">
      <c r="A274" s="264">
        <f>B274&amp;"-"&amp;C274</f>
        <v/>
      </c>
      <c r="B274" s="442" t="inlineStr">
        <is>
          <t>IX - Servicios de blindaje</t>
        </is>
      </c>
      <c r="C274" s="443" t="n">
        <v>19</v>
      </c>
      <c r="D274" s="264" t="inlineStr">
        <is>
          <t>Moneda de la operación</t>
        </is>
      </c>
      <c r="E274" s="264" t="inlineStr">
        <is>
          <t>Divisa distinta del dólar estadounidense y del euro, o activo virtual.</t>
        </is>
      </c>
      <c r="F274" s="264" t="inlineStr">
        <is>
          <t>Dólar estadounidense o euro, con soporte documental.</t>
        </is>
      </c>
      <c r="G274" s="264" t="inlineStr">
        <is>
          <t>Peso mexicano.</t>
        </is>
      </c>
      <c r="H274" s="444" t="inlineStr">
        <is>
          <t>campo</t>
        </is>
      </c>
    </row>
    <row r="275" ht="18.75" customHeight="1" s="225">
      <c r="A275" s="264">
        <f>B275&amp;"-"&amp;C275</f>
        <v/>
      </c>
      <c r="B275" s="442" t="inlineStr">
        <is>
          <t>IX - Servicios de blindaje</t>
        </is>
      </c>
      <c r="C275" s="443" t="n">
        <v>20</v>
      </c>
      <c r="D275" s="264" t="inlineStr">
        <is>
          <t>Monto frente al umbral de tu fracción</t>
        </is>
      </c>
      <c r="E275" s="264" t="inlineStr">
        <is>
          <t>La contratación del blindaje iguala o supera el umbral de Aviso de tu fracción del artículo 17.</t>
        </is>
      </c>
      <c r="F275" s="264" t="inlineStr">
        <is>
          <t>La contratación del blindaje se sitúa entre el umbral de identificación y el de Aviso.</t>
        </is>
      </c>
      <c r="G275" s="264" t="inlineStr">
        <is>
          <t>La contratación del blindaje queda por debajo del umbral de identificación.</t>
        </is>
      </c>
      <c r="H275" s="444" t="inlineStr">
        <is>
          <t>calculado</t>
        </is>
      </c>
    </row>
    <row r="276" ht="18.75" customHeight="1" s="225">
      <c r="A276" s="264">
        <f>B276&amp;"-"&amp;C276</f>
        <v/>
      </c>
      <c r="B276" s="442" t="inlineStr">
        <is>
          <t>IX - Servicios de blindaje</t>
        </is>
      </c>
      <c r="C276" s="443" t="n">
        <v>21</v>
      </c>
      <c r="D276" s="264" t="inlineStr">
        <is>
          <t>Número y ritmo de operaciones en el periodo</t>
        </is>
      </c>
      <c r="E276" s="264" t="inlineStr">
        <is>
          <t>Quien contrata el blindaje realiza cinco o más operaciones al año, o varias en intervalos cortos y regulares.</t>
        </is>
      </c>
      <c r="F276" s="264" t="inlineStr">
        <is>
          <t>Quien contrata el blindaje realiza entre dos y cuatro operaciones al año.</t>
        </is>
      </c>
      <c r="G276" s="264" t="inlineStr">
        <is>
          <t>Quien contrata el blindaje realiza una sola operación en el periodo.</t>
        </is>
      </c>
      <c r="H276" s="444" t="inlineStr">
        <is>
          <t>calculado</t>
        </is>
      </c>
    </row>
    <row r="277" ht="18.75" customHeight="1" s="225">
      <c r="A277" s="264">
        <f>B277&amp;"-"&amp;C277</f>
        <v/>
      </c>
      <c r="B277" s="442" t="inlineStr">
        <is>
          <t>IX - Servicios de blindaje</t>
        </is>
      </c>
      <c r="C277" s="443" t="n">
        <v>22</v>
      </c>
      <c r="D277" s="264" t="inlineStr">
        <is>
          <t>Canal: certeza de identificación del Cliente</t>
        </is>
      </c>
      <c r="E277" s="264" t="inlineStr">
        <is>
          <t>La operación llega por un gestor, plataforma o intermediario no acreditado: nadie responde por la identificación de quien contrata el blindaje, y quien opera puede no ser quien dice ser.</t>
        </is>
      </c>
      <c r="F277" s="264" t="inlineStr">
        <is>
          <t>Se identifica a quien contrata el blindaje de forma remota con verificación documental, o a través de un promotor o representante propio con contrato y responsable señalado.</t>
        </is>
      </c>
      <c r="G277" s="264" t="inlineStr">
        <is>
          <t>Quien contrata el blindaje comparece de forma directa, o se le identifica en remoto con biometría y prueba de vida.</t>
        </is>
      </c>
      <c r="H277" s="444" t="inlineStr">
        <is>
          <t>campo</t>
        </is>
      </c>
    </row>
    <row r="278" ht="18.75" customHeight="1" s="225">
      <c r="A278" s="264">
        <f>B278&amp;"-"&amp;C278</f>
        <v/>
      </c>
      <c r="B278" s="442" t="inlineStr">
        <is>
          <t>IX - Servicios de blindaje</t>
        </is>
      </c>
      <c r="C278" s="443" t="n">
        <v>23</v>
      </c>
      <c r="D278" s="264" t="inlineStr">
        <is>
          <t>Acreditación del origen de los recursos</t>
        </is>
      </c>
      <c r="E278" s="264" t="inlineStr">
        <is>
          <t>El origen de los recursos se declara sin soporte documental, o no se manifiesta.</t>
        </is>
      </c>
      <c r="F278" s="264" t="inlineStr">
        <is>
          <t>El origen se declara y se acredita sólo de forma parcial.</t>
        </is>
      </c>
      <c r="G278" s="264" t="inlineStr">
        <is>
          <t>El origen se acredita con documentación verificable.</t>
        </is>
      </c>
      <c r="H278" s="444" t="inlineStr">
        <is>
          <t>bandera</t>
        </is>
      </c>
    </row>
    <row r="279" ht="18.75" customHeight="1" s="225">
      <c r="A279" s="264">
        <f>B279&amp;"-"&amp;C279</f>
        <v/>
      </c>
      <c r="B279" s="442" t="inlineStr">
        <is>
          <t>IX - Servicios de blindaje</t>
        </is>
      </c>
      <c r="C279" s="443" t="n">
        <v>24</v>
      </c>
      <c r="D279" s="264" t="inlineStr">
        <is>
          <t>Acreditación del destino de los recursos o del bien</t>
        </is>
      </c>
      <c r="E279" s="264" t="inlineStr">
        <is>
          <t>El destino no se manifiesta, o los recursos o el servicio de blindaje pasan a un tercero no relacionado con quien contrata el blindaje.</t>
        </is>
      </c>
      <c r="F279" s="264" t="inlineStr">
        <is>
          <t>El destino se declara y es verificable.</t>
        </is>
      </c>
      <c r="G279" s="264" t="inlineStr">
        <is>
          <t>El destino es el servicio de blindaje mismo, y queda registrado en la operación.</t>
        </is>
      </c>
      <c r="H279" s="444" t="inlineStr">
        <is>
          <t>bandera</t>
        </is>
      </c>
    </row>
    <row r="280" ht="18.75" customHeight="1" s="225">
      <c r="A280" s="264">
        <f>B280&amp;"-"&amp;C280</f>
        <v/>
      </c>
      <c r="B280" s="442" t="inlineStr">
        <is>
          <t>IX - Servicios de blindaje</t>
        </is>
      </c>
      <c r="C280" s="443" t="n">
        <v>25</v>
      </c>
      <c r="D280" s="264" t="inlineStr">
        <is>
          <t>Combinación de canal e instrumento idónea para el financiamiento al terrorismo</t>
        </is>
      </c>
      <c r="E280" s="264" t="inlineStr">
        <is>
          <t>La contratación del blindaje combina contratación a distancia sin verificación reforzada con pagos en efectivo o instrumentos al portador.</t>
        </is>
      </c>
      <c r="F280" s="264" t="inlineStr">
        <is>
          <t>Concurre uno solo de los dos: o la contratación remota sin verificación reforzada, o el pago en instrumento no bancarizado.</t>
        </is>
      </c>
      <c r="G280" s="264" t="inlineStr">
        <is>
          <t>Ni la forma de contratar ni la de pagar permiten mover valor de forma anónima.</t>
        </is>
      </c>
      <c r="H280" s="444" t="inlineStr">
        <is>
          <t>bandera</t>
        </is>
      </c>
    </row>
    <row r="281" ht="18.75" customHeight="1" s="225">
      <c r="A281" s="264">
        <f>B281&amp;"-"&amp;C281</f>
        <v/>
      </c>
      <c r="B281" s="442" t="inlineStr">
        <is>
          <t>X - Transporte y custodia de valores</t>
        </is>
      </c>
      <c r="C281" s="443" t="n">
        <v>1</v>
      </c>
      <c r="D281" s="264" t="inlineStr">
        <is>
          <t>Valor unitario de la operación</t>
        </is>
      </c>
      <c r="E281" s="264" t="inlineStr">
        <is>
          <t>Los valores trasladados tiene un valor unitario muy por encima del ticket promedio de tu operación de doce meses.</t>
        </is>
      </c>
      <c r="F281" s="264" t="inlineStr">
        <is>
          <t>Los valores trasladados tiene un valor unitario dentro del rango habitual de tu operación.</t>
        </is>
      </c>
      <c r="G281" s="264" t="inlineStr">
        <is>
          <t>Los valores trasladados tiene un valor unitario por debajo de tu ticket promedio.</t>
        </is>
      </c>
      <c r="H281" s="444" t="inlineStr">
        <is>
          <t>calculado</t>
        </is>
      </c>
    </row>
    <row r="282" ht="18.75" customHeight="1" s="225">
      <c r="A282" s="264">
        <f>B282&amp;"-"&amp;C282</f>
        <v/>
      </c>
      <c r="B282" s="442" t="inlineStr">
        <is>
          <t>X - Transporte y custodia de valores</t>
        </is>
      </c>
      <c r="C282" s="443" t="n">
        <v>2</v>
      </c>
      <c r="D282" s="264" t="inlineStr">
        <is>
          <t>Liquidez: facilidad de convertir en dinero</t>
        </is>
      </c>
      <c r="E282" s="264" t="inlineStr">
        <is>
          <t>Los valores trasladados puede revenderse o cederse de inmediato y prácticamente a su valor íntegro.</t>
        </is>
      </c>
      <c r="F282" s="264" t="inlineStr">
        <is>
          <t>Los valores trasladados puede revenderse, pero con trámite, plazo o pérdida de valor apreciable.</t>
        </is>
      </c>
      <c r="G282" s="264" t="inlineStr">
        <is>
          <t>Los valores trasladados es difícil de revender: exige formalidades o registro, o pierde valor de forma significativa.</t>
        </is>
      </c>
      <c r="H282" s="444" t="inlineStr">
        <is>
          <t>bandera</t>
        </is>
      </c>
    </row>
    <row r="283" ht="18.75" customHeight="1" s="225">
      <c r="A283" s="264">
        <f>B283&amp;"-"&amp;C283</f>
        <v/>
      </c>
      <c r="B283" s="442" t="inlineStr">
        <is>
          <t>X - Transporte y custodia de valores</t>
        </is>
      </c>
      <c r="C283" s="443" t="n">
        <v>3</v>
      </c>
      <c r="D283" s="264" t="inlineStr">
        <is>
          <t>Anonimato: si el beneficiario queda a la vista</t>
        </is>
      </c>
      <c r="E283" s="264" t="inlineStr">
        <is>
          <t>El traslado o la custodia de valores admite que quien aparece no sea quien recibe el beneficio, sin que quede registro de quién es el beneficiario final.</t>
        </is>
      </c>
      <c r="F283" s="264" t="inlineStr">
        <is>
          <t>Se identifica a el usuario del servicio, pero el beneficiario final se declara sin documento que lo respalde.</t>
        </is>
      </c>
      <c r="G283" s="264" t="inlineStr">
        <is>
          <t>El usuario del servicio y el beneficiario final coinciden, y ambos constan en el expediente.</t>
        </is>
      </c>
      <c r="H283" s="444" t="inlineStr">
        <is>
          <t>bandera</t>
        </is>
      </c>
    </row>
    <row r="284" ht="18.75" customHeight="1" s="225">
      <c r="A284" s="264">
        <f>B284&amp;"-"&amp;C284</f>
        <v/>
      </c>
      <c r="B284" s="442" t="inlineStr">
        <is>
          <t>X - Transporte y custodia de valores</t>
        </is>
      </c>
      <c r="C284" s="443" t="n">
        <v>4</v>
      </c>
      <c r="D284" s="264" t="inlineStr">
        <is>
          <t>Ocultamiento de valor en el precio</t>
        </is>
      </c>
      <c r="E284" s="264" t="inlineStr">
        <is>
          <t>El traslado o la custodia de valores admite sobrevaluar, subvaluar o fraccionar el precio sin que la contabilidad lo refleje.</t>
        </is>
      </c>
      <c r="F284" s="264" t="inlineStr">
        <is>
          <t>El precio se aparta del valor de referencia, pero existe explicación documentada de la diferencia.</t>
        </is>
      </c>
      <c r="G284" s="264" t="inlineStr">
        <is>
          <t>El precio corresponde al valor de referencia y queda registrado en la contabilidad.</t>
        </is>
      </c>
      <c r="H284" s="444" t="inlineStr">
        <is>
          <t>bandera</t>
        </is>
      </c>
    </row>
    <row r="285" ht="18.75" customHeight="1" s="225">
      <c r="A285" s="264">
        <f>B285&amp;"-"&amp;C285</f>
        <v/>
      </c>
      <c r="B285" s="442" t="inlineStr">
        <is>
          <t>X - Transporte y custodia de valores</t>
        </is>
      </c>
      <c r="C285" s="443" t="n">
        <v>5</v>
      </c>
      <c r="D285" s="264" t="inlineStr">
        <is>
          <t>Exposición a personas señaladas por terrorismo</t>
        </is>
      </c>
      <c r="E285" s="264" t="inlineStr">
        <is>
          <t>El usuario del servicio, su beneficiario o su contraparte aparece en listas de sanciones o de organizaciones terroristas.</t>
        </is>
      </c>
      <c r="F285" s="264" t="inlineStr">
        <is>
          <t>Existe un vínculo indirecto —contraparte, domicilio o ruta de los fondos— con una jurisdicción en conflicto o de acción requerida.</t>
        </is>
      </c>
      <c r="G285" s="264" t="inlineStr">
        <is>
          <t>Sin coincidencias ni vínculos con esas listas ni con jurisdicciones en conflicto, con búsqueda documentada.</t>
        </is>
      </c>
      <c r="H285" s="444" t="inlineStr">
        <is>
          <t>campo</t>
        </is>
      </c>
    </row>
    <row r="286" ht="18.75" customHeight="1" s="225">
      <c r="A286" s="264">
        <f>B286&amp;"-"&amp;C286</f>
        <v/>
      </c>
      <c r="B286" s="442" t="inlineStr">
        <is>
          <t>X - Transporte y custodia de valores</t>
        </is>
      </c>
      <c r="C286" s="443" t="n">
        <v>6</v>
      </c>
      <c r="D286" s="264" t="inlineStr">
        <is>
          <t>Tipo de persona</t>
        </is>
      </c>
      <c r="E286" s="264" t="inlineStr">
        <is>
          <t>El usuario del servicio es un fideicomiso u otro vehículo sin personalidad jurídica propia. No hay un titular único: la figura permite que quien entrega los valores y quien los recibe sean personas distintas y que ninguna aparezca en el contrato.</t>
        </is>
      </c>
      <c r="F286" s="264" t="inlineStr">
        <is>
          <t>El usuario del servicio es persona moral. La voluntad se forma en órganos y la propiedad está en socios, así que hay que llegar al Beneficiario Controlador para saber quién está realmente detrás.</t>
        </is>
      </c>
      <c r="G286" s="264" t="inlineStr">
        <is>
          <t>El usuario del servicio es persona física. Coincide quien entrega los valores y quien los recibe, y la identificación es directa contra un solo expediente.</t>
        </is>
      </c>
      <c r="H286" s="444" t="inlineStr">
        <is>
          <t>campo</t>
        </is>
      </c>
    </row>
    <row r="287" ht="18.75" customHeight="1" s="225">
      <c r="A287" s="264">
        <f>B287&amp;"-"&amp;C287</f>
        <v/>
      </c>
      <c r="B287" s="442" t="inlineStr">
        <is>
          <t>X - Transporte y custodia de valores</t>
        </is>
      </c>
      <c r="C287" s="443" t="n">
        <v>7</v>
      </c>
      <c r="D287" s="264" t="inlineStr">
        <is>
          <t>Antigüedad del Cliente</t>
        </is>
      </c>
      <c r="E287" s="264" t="inlineStr">
        <is>
          <t>Persona moral constituida hace menos de dos años, o persona física menor de veintitrés años.</t>
        </is>
      </c>
      <c r="F287" s="264" t="inlineStr">
        <is>
          <t>Persona moral constituida hace entre dos y cinco años.</t>
        </is>
      </c>
      <c r="G287" s="264" t="inlineStr">
        <is>
          <t>Persona moral con más de cinco años de constituida, o persona física de veintitrés años en adelante.</t>
        </is>
      </c>
      <c r="H287" s="444" t="inlineStr">
        <is>
          <t>campo</t>
        </is>
      </c>
    </row>
    <row r="288" ht="18.75" customHeight="1" s="225">
      <c r="A288" s="264">
        <f>B288&amp;"-"&amp;C288</f>
        <v/>
      </c>
      <c r="B288" s="442" t="inlineStr">
        <is>
          <t>X - Transporte y custodia de valores</t>
        </is>
      </c>
      <c r="C288" s="443" t="n">
        <v>8</v>
      </c>
      <c r="D288" s="264" t="inlineStr">
        <is>
          <t>Giro o actividad declarada</t>
        </is>
      </c>
      <c r="E288" s="264" t="inlineStr">
        <is>
          <t>El giro que declara el usuario del servicio es a su vez una Actividad Vulnerable del artículo 17, o no se acredita con documento alguno.</t>
        </is>
      </c>
      <c r="F288" s="264" t="inlineStr">
        <is>
          <t>El giro se declara y se acredita sólo de forma parcial.</t>
        </is>
      </c>
      <c r="G288" s="264" t="inlineStr">
        <is>
          <t>El giro se acredita con documento: constancia de situación fiscal, acta constitutiva o comprobante de empleo.</t>
        </is>
      </c>
      <c r="H288" s="444" t="inlineStr">
        <is>
          <t>campo</t>
        </is>
      </c>
    </row>
    <row r="289" ht="18.75" customHeight="1" s="225">
      <c r="A289" s="264">
        <f>B289&amp;"-"&amp;C289</f>
        <v/>
      </c>
      <c r="B289" s="442" t="inlineStr">
        <is>
          <t>X - Transporte y custodia de valores</t>
        </is>
      </c>
      <c r="C289" s="443" t="n">
        <v>9</v>
      </c>
      <c r="D289" s="264" t="inlineStr">
        <is>
          <t>Nacionalidad</t>
        </is>
      </c>
      <c r="E289" s="264" t="inlineStr">
        <is>
          <t>Nacionalidad de país o jurisdicción señalada por la UIF, o no determinada.</t>
        </is>
      </c>
      <c r="F289" s="264" t="inlineStr">
        <is>
          <t>Nacionalidad extranjera de país sin señalamiento.</t>
        </is>
      </c>
      <c r="G289" s="264" t="inlineStr">
        <is>
          <t>Nacionalidad mexicana.</t>
        </is>
      </c>
      <c r="H289" s="444" t="inlineStr">
        <is>
          <t>campo</t>
        </is>
      </c>
    </row>
    <row r="290" ht="18.75" customHeight="1" s="225">
      <c r="A290" s="264">
        <f>B290&amp;"-"&amp;C290</f>
        <v/>
      </c>
      <c r="B290" s="442" t="inlineStr">
        <is>
          <t>X - Transporte y custodia de valores</t>
        </is>
      </c>
      <c r="C290" s="443" t="n">
        <v>10</v>
      </c>
      <c r="D290" s="264" t="inlineStr">
        <is>
          <t>País y entidad de residencia</t>
        </is>
      </c>
      <c r="E290" s="264" t="inlineStr">
        <is>
          <t>Residencia en jurisdicción de régimen fiscal preferente o señalada por deficiencias, o domicilio no verificable.</t>
        </is>
      </c>
      <c r="F290" s="264" t="inlineStr">
        <is>
          <t>Residencia en el extranjero sin señalamiento, o en entidad federativa señalada en la ENR.</t>
        </is>
      </c>
      <c r="G290" s="264" t="inlineStr">
        <is>
          <t>Residencia en México, en entidad federativa sin señalamiento en la ENR.</t>
        </is>
      </c>
      <c r="H290" s="444" t="inlineStr">
        <is>
          <t>campo</t>
        </is>
      </c>
    </row>
    <row r="291" ht="18.75" customHeight="1" s="225">
      <c r="A291" s="264">
        <f>B291&amp;"-"&amp;C291</f>
        <v/>
      </c>
      <c r="B291" s="442" t="inlineStr">
        <is>
          <t>X - Transporte y custodia de valores</t>
        </is>
      </c>
      <c r="C291" s="443" t="n">
        <v>11</v>
      </c>
      <c r="D291" s="264" t="inlineStr">
        <is>
          <t>Condición de Persona Políticamente Expuesta</t>
        </is>
      </c>
      <c r="E291" s="264" t="inlineStr">
        <is>
          <t>Persona Políticamente Expuesta extranjera, o nacional cuyo comportamiento transaccional no corresponde con sus ingresos y funciones.</t>
        </is>
      </c>
      <c r="F291" s="264" t="inlineStr">
        <is>
          <t>Persona Políticamente Expuesta nacional con comportamiento congruente, o familiar o allegado de una.</t>
        </is>
      </c>
      <c r="G291" s="264" t="inlineStr">
        <is>
          <t>Sin condición de Persona Políticamente Expuesta, con búsqueda documentada.</t>
        </is>
      </c>
      <c r="H291" s="444" t="inlineStr">
        <is>
          <t>campo</t>
        </is>
      </c>
    </row>
    <row r="292" ht="18.75" customHeight="1" s="225">
      <c r="A292" s="264">
        <f>B292&amp;"-"&amp;C292</f>
        <v/>
      </c>
      <c r="B292" s="442" t="inlineStr">
        <is>
          <t>X - Transporte y custodia de valores</t>
        </is>
      </c>
      <c r="C292" s="443" t="n">
        <v>12</v>
      </c>
      <c r="D292" s="264" t="inlineStr">
        <is>
          <t>Resultado de la búsqueda en listas</t>
        </is>
      </c>
      <c r="E292" s="264" t="inlineStr">
        <is>
          <t>Coincidencia positiva en listas de personas bloqueadas o de sanciones, o búsqueda no realizada o sin constancia.</t>
        </is>
      </c>
      <c r="F292" s="264" t="inlineStr">
        <is>
          <t>Coincidencia descartada por homonimia acreditada, con constancia.</t>
        </is>
      </c>
      <c r="G292" s="264" t="inlineStr">
        <is>
          <t>Sin coincidencia, con constancia de la búsqueda y su fecha.</t>
        </is>
      </c>
      <c r="H292" s="444" t="inlineStr">
        <is>
          <t>campo</t>
        </is>
      </c>
    </row>
    <row r="293" ht="18.75" customHeight="1" s="225">
      <c r="A293" s="264">
        <f>B293&amp;"-"&amp;C293</f>
        <v/>
      </c>
      <c r="B293" s="442" t="inlineStr">
        <is>
          <t>X - Transporte y custodia de valores</t>
        </is>
      </c>
      <c r="C293" s="443" t="n">
        <v>13</v>
      </c>
      <c r="D293" s="264" t="inlineStr">
        <is>
          <t>Profundidad de la cadena de control</t>
        </is>
      </c>
      <c r="E293" s="264" t="inlineStr">
        <is>
          <t>No se logra identificar al Beneficiario Controlador de el usuario del servicio, o la cadena no es acreditable.</t>
        </is>
      </c>
      <c r="F293" s="264" t="inlineStr">
        <is>
          <t>El Beneficiario Controlador se identifica atravesando dos o más niveles societarios o fiduciarios.</t>
        </is>
      </c>
      <c r="G293" s="264" t="inlineStr">
        <is>
          <t>El Beneficiario Controlador se identifica en un solo nivel, o el usuario del servicio es su propio beneficiario.</t>
        </is>
      </c>
      <c r="H293" s="444" t="inlineStr">
        <is>
          <t>calculado</t>
        </is>
      </c>
    </row>
    <row r="294" ht="18.75" customHeight="1" s="225">
      <c r="A294" s="264">
        <f>B294&amp;"-"&amp;C294</f>
        <v/>
      </c>
      <c r="B294" s="442" t="inlineStr">
        <is>
          <t>X - Transporte y custodia de valores</t>
        </is>
      </c>
      <c r="C294" s="443" t="n">
        <v>14</v>
      </c>
      <c r="D294" s="264" t="inlineStr">
        <is>
          <t>País donde se realiza la operación</t>
        </is>
      </c>
      <c r="E294" s="264" t="inlineStr">
        <is>
          <t>El traslado o la custodia de valores se pacta con o desde una jurisdicción de alto riesgo o no cooperante.</t>
        </is>
      </c>
      <c r="F294" s="264" t="inlineStr">
        <is>
          <t>El traslado o la custodia de valores se pacta con una jurisdicción extranjera sin señalamiento.</t>
        </is>
      </c>
      <c r="G294" s="264" t="inlineStr">
        <is>
          <t>El traslado o la custodia de valores se realiza íntegramente en México.</t>
        </is>
      </c>
      <c r="H294" s="444" t="inlineStr">
        <is>
          <t>campo</t>
        </is>
      </c>
    </row>
    <row r="295" ht="18.75" customHeight="1" s="225">
      <c r="A295" s="264">
        <f>B295&amp;"-"&amp;C295</f>
        <v/>
      </c>
      <c r="B295" s="442" t="inlineStr">
        <is>
          <t>X - Transporte y custodia de valores</t>
        </is>
      </c>
      <c r="C295" s="443" t="n">
        <v>15</v>
      </c>
      <c r="D295" s="264" t="inlineStr">
        <is>
          <t>Entidad o municipio de la operación</t>
        </is>
      </c>
      <c r="E295" s="264" t="inlineStr">
        <is>
          <t>El traslado o la custodia de valores ocurre en un municipio o zona identificada de alto riesgo.</t>
        </is>
      </c>
      <c r="F295" s="264" t="inlineStr">
        <is>
          <t>El traslado o la custodia de valores ocurre en una entidad federativa con señalamiento en la ENR.</t>
        </is>
      </c>
      <c r="G295" s="264" t="inlineStr">
        <is>
          <t>El traslado o la custodia de valores ocurre en una entidad federativa sin señalamiento en la ENR.</t>
        </is>
      </c>
      <c r="H295" s="444" t="inlineStr">
        <is>
          <t>campo</t>
        </is>
      </c>
    </row>
    <row r="296" ht="18.75" customHeight="1" s="225">
      <c r="A296" s="264">
        <f>B296&amp;"-"&amp;C296</f>
        <v/>
      </c>
      <c r="B296" s="442" t="inlineStr">
        <is>
          <t>X - Transporte y custodia de valores</t>
        </is>
      </c>
      <c r="C296" s="443" t="n">
        <v>16</v>
      </c>
      <c r="D296" s="264" t="inlineStr">
        <is>
          <t>Vínculo con jurisdicción sancionada o de acción requerida</t>
        </is>
      </c>
      <c r="E296" s="264" t="inlineStr">
        <is>
          <t>Hay exposición directa a una jurisdicción sancionada, en conflicto armado o de acción requerida del GAFI.</t>
        </is>
      </c>
      <c r="F296" s="264" t="inlineStr">
        <is>
          <t>La exposición es indirecta: una contraparte o la ruta de los fondos toca esa jurisdicción.</t>
        </is>
      </c>
      <c r="G296" s="264" t="inlineStr">
        <is>
          <t>Sin exposición a jurisdicciones sancionadas, en conflicto ni de acción requerida.</t>
        </is>
      </c>
      <c r="H296" s="444" t="inlineStr">
        <is>
          <t>campo</t>
        </is>
      </c>
    </row>
    <row r="297" ht="18.75" customHeight="1" s="225">
      <c r="A297" s="264">
        <f>B297&amp;"-"&amp;C297</f>
        <v/>
      </c>
      <c r="B297" s="442" t="inlineStr">
        <is>
          <t>X - Transporte y custodia de valores</t>
        </is>
      </c>
      <c r="C297" s="443" t="n">
        <v>17</v>
      </c>
      <c r="D297" s="264" t="inlineStr">
        <is>
          <t>Coincidencia entre domicilio y lugar de la operación</t>
        </is>
      </c>
      <c r="E297" s="264" t="inlineStr">
        <is>
          <t>El domicilio de el usuario del servicio y el lugar de el traslado o la custodia de valores no coinciden, y no hay explicación documentada.</t>
        </is>
      </c>
      <c r="F297" s="264" t="inlineStr">
        <is>
          <t>No coinciden, pero consta por escrito la razón de operar en ese lugar.</t>
        </is>
      </c>
      <c r="G297" s="264" t="inlineStr">
        <is>
          <t>El domicilio de el usuario del servicio y el lugar de el traslado o la custodia de valores coinciden.</t>
        </is>
      </c>
      <c r="H297" s="444" t="inlineStr">
        <is>
          <t>calculado</t>
        </is>
      </c>
    </row>
    <row r="298" ht="18.75" customHeight="1" s="225">
      <c r="A298" s="264">
        <f>B298&amp;"-"&amp;C298</f>
        <v/>
      </c>
      <c r="B298" s="442" t="inlineStr">
        <is>
          <t>X - Transporte y custodia de valores</t>
        </is>
      </c>
      <c r="C298" s="443" t="n">
        <v>18</v>
      </c>
      <c r="D298" s="264" t="inlineStr">
        <is>
          <t>Instrumento con que se paga</t>
        </is>
      </c>
      <c r="E298" s="264" t="inlineStr">
        <is>
          <t>Efectivo por encima de tu umbral interno, instrumento al portador, o pago en especie.</t>
        </is>
      </c>
      <c r="F298" s="264" t="inlineStr">
        <is>
          <t>Pago mixto, con un componente en efectivo por debajo de tu umbral interno.</t>
        </is>
      </c>
      <c r="G298" s="264" t="inlineStr">
        <is>
          <t>Transferencia electrónica o cheque nominativo desde una cuenta a nombre de el usuario del servicio.</t>
        </is>
      </c>
      <c r="H298" s="444" t="inlineStr">
        <is>
          <t>campo</t>
        </is>
      </c>
    </row>
    <row r="299" ht="18.75" customHeight="1" s="225">
      <c r="A299" s="264">
        <f>B299&amp;"-"&amp;C299</f>
        <v/>
      </c>
      <c r="B299" s="442" t="inlineStr">
        <is>
          <t>X - Transporte y custodia de valores</t>
        </is>
      </c>
      <c r="C299" s="443" t="n">
        <v>19</v>
      </c>
      <c r="D299" s="264" t="inlineStr">
        <is>
          <t>Moneda de la operación</t>
        </is>
      </c>
      <c r="E299" s="264" t="inlineStr">
        <is>
          <t>Divisa distinta del dólar estadounidense y del euro, o activo virtual.</t>
        </is>
      </c>
      <c r="F299" s="264" t="inlineStr">
        <is>
          <t>Dólar estadounidense o euro, con soporte documental.</t>
        </is>
      </c>
      <c r="G299" s="264" t="inlineStr">
        <is>
          <t>Peso mexicano.</t>
        </is>
      </c>
      <c r="H299" s="444" t="inlineStr">
        <is>
          <t>campo</t>
        </is>
      </c>
    </row>
    <row r="300" ht="18.75" customHeight="1" s="225">
      <c r="A300" s="264">
        <f>B300&amp;"-"&amp;C300</f>
        <v/>
      </c>
      <c r="B300" s="442" t="inlineStr">
        <is>
          <t>X - Transporte y custodia de valores</t>
        </is>
      </c>
      <c r="C300" s="443" t="n">
        <v>20</v>
      </c>
      <c r="D300" s="264" t="inlineStr">
        <is>
          <t>Monto frente al umbral de tu fracción</t>
        </is>
      </c>
      <c r="E300" s="264" t="inlineStr">
        <is>
          <t>El traslado o la custodia de valores iguala o supera el umbral de Aviso de tu fracción del artículo 17.</t>
        </is>
      </c>
      <c r="F300" s="264" t="inlineStr">
        <is>
          <t>El traslado o la custodia de valores se sitúa entre el umbral de identificación y el de Aviso.</t>
        </is>
      </c>
      <c r="G300" s="264" t="inlineStr">
        <is>
          <t>El traslado o la custodia de valores queda por debajo del umbral de identificación.</t>
        </is>
      </c>
      <c r="H300" s="444" t="inlineStr">
        <is>
          <t>calculado</t>
        </is>
      </c>
    </row>
    <row r="301" ht="18.75" customHeight="1" s="225">
      <c r="A301" s="264">
        <f>B301&amp;"-"&amp;C301</f>
        <v/>
      </c>
      <c r="B301" s="442" t="inlineStr">
        <is>
          <t>X - Transporte y custodia de valores</t>
        </is>
      </c>
      <c r="C301" s="443" t="n">
        <v>21</v>
      </c>
      <c r="D301" s="264" t="inlineStr">
        <is>
          <t>Número y ritmo de operaciones en el periodo</t>
        </is>
      </c>
      <c r="E301" s="264" t="inlineStr">
        <is>
          <t>El usuario del servicio realiza cinco o más operaciones al año, o varias en intervalos cortos y regulares.</t>
        </is>
      </c>
      <c r="F301" s="264" t="inlineStr">
        <is>
          <t>El usuario del servicio realiza entre dos y cuatro operaciones al año.</t>
        </is>
      </c>
      <c r="G301" s="264" t="inlineStr">
        <is>
          <t>El usuario del servicio realiza una sola operación en el periodo.</t>
        </is>
      </c>
      <c r="H301" s="444" t="inlineStr">
        <is>
          <t>calculado</t>
        </is>
      </c>
    </row>
    <row r="302" ht="18.75" customHeight="1" s="225">
      <c r="A302" s="264">
        <f>B302&amp;"-"&amp;C302</f>
        <v/>
      </c>
      <c r="B302" s="442" t="inlineStr">
        <is>
          <t>X - Transporte y custodia de valores</t>
        </is>
      </c>
      <c r="C302" s="443" t="n">
        <v>22</v>
      </c>
      <c r="D302" s="264" t="inlineStr">
        <is>
          <t>Canal: certeza de identificación del Cliente</t>
        </is>
      </c>
      <c r="E302" s="264" t="inlineStr">
        <is>
          <t>La operación llega por un gestor, plataforma o intermediario no acreditado: nadie responde por la identificación de el usuario, y quien opera puede no ser quien dice ser.</t>
        </is>
      </c>
      <c r="F302" s="264" t="inlineStr">
        <is>
          <t>Se identifica a el usuario de forma remota con verificación documental, o a través de un promotor o representante propio con contrato y responsable señalado.</t>
        </is>
      </c>
      <c r="G302" s="264" t="inlineStr">
        <is>
          <t>El usuario comparece de forma directa, o se le identifica en remoto con biometría y prueba de vida.</t>
        </is>
      </c>
      <c r="H302" s="444" t="inlineStr">
        <is>
          <t>campo</t>
        </is>
      </c>
    </row>
    <row r="303" ht="18.75" customHeight="1" s="225">
      <c r="A303" s="264">
        <f>B303&amp;"-"&amp;C303</f>
        <v/>
      </c>
      <c r="B303" s="442" t="inlineStr">
        <is>
          <t>X - Transporte y custodia de valores</t>
        </is>
      </c>
      <c r="C303" s="443" t="n">
        <v>23</v>
      </c>
      <c r="D303" s="264" t="inlineStr">
        <is>
          <t>Acreditación del origen de los recursos</t>
        </is>
      </c>
      <c r="E303" s="264" t="inlineStr">
        <is>
          <t>El origen de los recursos se declara sin soporte documental, o no se manifiesta.</t>
        </is>
      </c>
      <c r="F303" s="264" t="inlineStr">
        <is>
          <t>El origen se declara y se acredita sólo de forma parcial.</t>
        </is>
      </c>
      <c r="G303" s="264" t="inlineStr">
        <is>
          <t>El origen se acredita con documentación verificable.</t>
        </is>
      </c>
      <c r="H303" s="444" t="inlineStr">
        <is>
          <t>bandera</t>
        </is>
      </c>
    </row>
    <row r="304" ht="18.75" customHeight="1" s="225">
      <c r="A304" s="264">
        <f>B304&amp;"-"&amp;C304</f>
        <v/>
      </c>
      <c r="B304" s="442" t="inlineStr">
        <is>
          <t>X - Transporte y custodia de valores</t>
        </is>
      </c>
      <c r="C304" s="443" t="n">
        <v>24</v>
      </c>
      <c r="D304" s="264" t="inlineStr">
        <is>
          <t>Acreditación del destino de los recursos o del bien</t>
        </is>
      </c>
      <c r="E304" s="264" t="inlineStr">
        <is>
          <t>El destino no se manifiesta, o los recursos o los valores trasladados pasan a un tercero no relacionado con el usuario del servicio.</t>
        </is>
      </c>
      <c r="F304" s="264" t="inlineStr">
        <is>
          <t>El destino se declara y es verificable.</t>
        </is>
      </c>
      <c r="G304" s="264" t="inlineStr">
        <is>
          <t>El destino es los valores trasladados mismo, y queda registrado en la operación.</t>
        </is>
      </c>
      <c r="H304" s="444" t="inlineStr">
        <is>
          <t>bandera</t>
        </is>
      </c>
    </row>
    <row r="305" ht="18.75" customHeight="1" s="225">
      <c r="A305" s="264">
        <f>B305&amp;"-"&amp;C305</f>
        <v/>
      </c>
      <c r="B305" s="442" t="inlineStr">
        <is>
          <t>X - Transporte y custodia de valores</t>
        </is>
      </c>
      <c r="C305" s="443" t="n">
        <v>25</v>
      </c>
      <c r="D305" s="264" t="inlineStr">
        <is>
          <t>Combinación de canal e instrumento idónea para el financiamiento al terrorismo</t>
        </is>
      </c>
      <c r="E305" s="264" t="inlineStr">
        <is>
          <t>El traslado o la custodia de valores combina contratación a distancia sin verificación reforzada con pagos en efectivo o instrumentos al portador.</t>
        </is>
      </c>
      <c r="F305" s="264" t="inlineStr">
        <is>
          <t>Concurre uno solo de los dos: o la contratación remota sin verificación reforzada, o el pago en instrumento no bancarizado.</t>
        </is>
      </c>
      <c r="G305" s="264" t="inlineStr">
        <is>
          <t>Ni la forma de contratar ni la de pagar permiten mover valor de forma anónima.</t>
        </is>
      </c>
      <c r="H305" s="444" t="inlineStr">
        <is>
          <t>bandera</t>
        </is>
      </c>
    </row>
    <row r="306" ht="18.75" customHeight="1" s="225">
      <c r="A306" s="264">
        <f>B306&amp;"-"&amp;C306</f>
        <v/>
      </c>
      <c r="B306" s="442" t="inlineStr">
        <is>
          <t>XI - Servicios Profesionales</t>
        </is>
      </c>
      <c r="C306" s="443" t="n">
        <v>1</v>
      </c>
      <c r="D306" s="264" t="inlineStr">
        <is>
          <t>Valor unitario de la operación</t>
        </is>
      </c>
      <c r="E306" s="264" t="inlineStr">
        <is>
          <t>El encargo profesional tiene un valor unitario muy por encima del ticket promedio de tu operación de doce meses.</t>
        </is>
      </c>
      <c r="F306" s="264" t="inlineStr">
        <is>
          <t>El encargo profesional tiene un valor unitario dentro del rango habitual de tu operación.</t>
        </is>
      </c>
      <c r="G306" s="264" t="inlineStr">
        <is>
          <t>El encargo profesional tiene un valor unitario por debajo de tu ticket promedio.</t>
        </is>
      </c>
      <c r="H306" s="444" t="inlineStr">
        <is>
          <t>calculado</t>
        </is>
      </c>
    </row>
    <row r="307" ht="18.75" customHeight="1" s="225">
      <c r="A307" s="264">
        <f>B307&amp;"-"&amp;C307</f>
        <v/>
      </c>
      <c r="B307" s="442" t="inlineStr">
        <is>
          <t>XI - Servicios Profesionales</t>
        </is>
      </c>
      <c r="C307" s="443" t="n">
        <v>2</v>
      </c>
      <c r="D307" s="264" t="inlineStr">
        <is>
          <t>Liquidez: facilidad de convertir en dinero</t>
        </is>
      </c>
      <c r="E307" s="264" t="inlineStr">
        <is>
          <t>El encargo profesional puede revenderse o cederse de inmediato y prácticamente a su valor íntegro.</t>
        </is>
      </c>
      <c r="F307" s="264" t="inlineStr">
        <is>
          <t>El encargo profesional puede revenderse, pero con trámite, plazo o pérdida de valor apreciable.</t>
        </is>
      </c>
      <c r="G307" s="264" t="inlineStr">
        <is>
          <t>El encargo profesional es difícil de revender: exige formalidades o registro, o pierde valor de forma significativa.</t>
        </is>
      </c>
      <c r="H307" s="444" t="inlineStr">
        <is>
          <t>bandera</t>
        </is>
      </c>
    </row>
    <row r="308" ht="18.75" customHeight="1" s="225">
      <c r="A308" s="264">
        <f>B308&amp;"-"&amp;C308</f>
        <v/>
      </c>
      <c r="B308" s="442" t="inlineStr">
        <is>
          <t>XI - Servicios Profesionales</t>
        </is>
      </c>
      <c r="C308" s="443" t="n">
        <v>3</v>
      </c>
      <c r="D308" s="264" t="inlineStr">
        <is>
          <t>Anonimato: si el beneficiario queda a la vista</t>
        </is>
      </c>
      <c r="E308" s="264" t="inlineStr">
        <is>
          <t>La prestación del servicio admite que quien aparece no sea quien recibe el beneficio, sin que quede registro de quién es el beneficiario final.</t>
        </is>
      </c>
      <c r="F308" s="264" t="inlineStr">
        <is>
          <t>Se identifica a el cliente, pero el beneficiario final se declara sin documento que lo respalde.</t>
        </is>
      </c>
      <c r="G308" s="264" t="inlineStr">
        <is>
          <t>El cliente y el beneficiario final coinciden, y ambos constan en el expediente.</t>
        </is>
      </c>
      <c r="H308" s="444" t="inlineStr">
        <is>
          <t>bandera</t>
        </is>
      </c>
    </row>
    <row r="309" ht="18.75" customHeight="1" s="225">
      <c r="A309" s="264">
        <f>B309&amp;"-"&amp;C309</f>
        <v/>
      </c>
      <c r="B309" s="442" t="inlineStr">
        <is>
          <t>XI - Servicios Profesionales</t>
        </is>
      </c>
      <c r="C309" s="443" t="n">
        <v>4</v>
      </c>
      <c r="D309" s="264" t="inlineStr">
        <is>
          <t>Ocultamiento de valor en el precio</t>
        </is>
      </c>
      <c r="E309" s="264" t="inlineStr">
        <is>
          <t>La prestación del servicio admite sobrevaluar, subvaluar o fraccionar el precio sin que la contabilidad lo refleje.</t>
        </is>
      </c>
      <c r="F309" s="264" t="inlineStr">
        <is>
          <t>El precio se aparta del valor de referencia, pero existe explicación documentada de la diferencia.</t>
        </is>
      </c>
      <c r="G309" s="264" t="inlineStr">
        <is>
          <t>El precio corresponde al valor de referencia y queda registrado en la contabilidad.</t>
        </is>
      </c>
      <c r="H309" s="444" t="inlineStr">
        <is>
          <t>bandera</t>
        </is>
      </c>
    </row>
    <row r="310" ht="18.75" customHeight="1" s="225">
      <c r="A310" s="264">
        <f>B310&amp;"-"&amp;C310</f>
        <v/>
      </c>
      <c r="B310" s="442" t="inlineStr">
        <is>
          <t>XI - Servicios Profesionales</t>
        </is>
      </c>
      <c r="C310" s="443" t="n">
        <v>5</v>
      </c>
      <c r="D310" s="264" t="inlineStr">
        <is>
          <t>Exposición a personas señaladas por terrorismo</t>
        </is>
      </c>
      <c r="E310" s="264" t="inlineStr">
        <is>
          <t>El cliente, su beneficiario o su contraparte aparece en listas de sanciones o de organizaciones terroristas.</t>
        </is>
      </c>
      <c r="F310" s="264" t="inlineStr">
        <is>
          <t>Existe un vínculo indirecto —contraparte, domicilio o ruta de los fondos— con una jurisdicción en conflicto o de acción requerida.</t>
        </is>
      </c>
      <c r="G310" s="264" t="inlineStr">
        <is>
          <t>Sin coincidencias ni vínculos con esas listas ni con jurisdicciones en conflicto, con búsqueda documentada.</t>
        </is>
      </c>
      <c r="H310" s="444" t="inlineStr">
        <is>
          <t>campo</t>
        </is>
      </c>
    </row>
    <row r="311" ht="18.75" customHeight="1" s="225">
      <c r="A311" s="264">
        <f>B311&amp;"-"&amp;C311</f>
        <v/>
      </c>
      <c r="B311" s="442" t="inlineStr">
        <is>
          <t>XI - Servicios Profesionales</t>
        </is>
      </c>
      <c r="C311" s="443" t="n">
        <v>6</v>
      </c>
      <c r="D311" s="264" t="inlineStr">
        <is>
          <t>Tipo de persona</t>
        </is>
      </c>
      <c r="E311" s="264" t="inlineStr">
        <is>
          <t>El cliente del despacho es un fideicomiso u otro vehículo sin personalidad jurídica propia. No hay un titular único: la figura permite que quien instruye y quien se beneficia del encargo sean personas distintas y que ninguna aparezca en el contrato.</t>
        </is>
      </c>
      <c r="F311" s="264" t="inlineStr">
        <is>
          <t>El cliente del despacho es persona moral. La voluntad se forma en órganos y la propiedad está en socios, así que hay que llegar al Beneficiario Controlador para saber quién está realmente detrás.</t>
        </is>
      </c>
      <c r="G311" s="264" t="inlineStr">
        <is>
          <t>El cliente del despacho es persona física. Coincide quien instruye y quien se beneficia del encargo, y la identificación es directa contra un solo expediente.</t>
        </is>
      </c>
      <c r="H311" s="444" t="inlineStr">
        <is>
          <t>campo</t>
        </is>
      </c>
    </row>
    <row r="312" ht="18.75" customHeight="1" s="225">
      <c r="A312" s="264">
        <f>B312&amp;"-"&amp;C312</f>
        <v/>
      </c>
      <c r="B312" s="442" t="inlineStr">
        <is>
          <t>XI - Servicios Profesionales</t>
        </is>
      </c>
      <c r="C312" s="443" t="n">
        <v>7</v>
      </c>
      <c r="D312" s="264" t="inlineStr">
        <is>
          <t>Antigüedad del Cliente</t>
        </is>
      </c>
      <c r="E312" s="264" t="inlineStr">
        <is>
          <t>Persona moral constituida hace menos de dos años, o persona física menor de veintitrés años.</t>
        </is>
      </c>
      <c r="F312" s="264" t="inlineStr">
        <is>
          <t>Persona moral constituida hace entre dos y cinco años.</t>
        </is>
      </c>
      <c r="G312" s="264" t="inlineStr">
        <is>
          <t>Persona moral con más de cinco años de constituida, o persona física de veintitrés años en adelante.</t>
        </is>
      </c>
      <c r="H312" s="444" t="inlineStr">
        <is>
          <t>campo</t>
        </is>
      </c>
    </row>
    <row r="313" ht="18.75" customHeight="1" s="225">
      <c r="A313" s="264">
        <f>B313&amp;"-"&amp;C313</f>
        <v/>
      </c>
      <c r="B313" s="442" t="inlineStr">
        <is>
          <t>XI - Servicios Profesionales</t>
        </is>
      </c>
      <c r="C313" s="443" t="n">
        <v>8</v>
      </c>
      <c r="D313" s="264" t="inlineStr">
        <is>
          <t>Giro o actividad declarada</t>
        </is>
      </c>
      <c r="E313" s="264" t="inlineStr">
        <is>
          <t>El giro que declara el cliente es a su vez una Actividad Vulnerable del artículo 17, o no se acredita con documento alguno.</t>
        </is>
      </c>
      <c r="F313" s="264" t="inlineStr">
        <is>
          <t>El giro se declara y se acredita sólo de forma parcial.</t>
        </is>
      </c>
      <c r="G313" s="264" t="inlineStr">
        <is>
          <t>El giro se acredita con documento: constancia de situación fiscal, acta constitutiva o comprobante de empleo.</t>
        </is>
      </c>
      <c r="H313" s="444" t="inlineStr">
        <is>
          <t>campo</t>
        </is>
      </c>
    </row>
    <row r="314" ht="18.75" customHeight="1" s="225">
      <c r="A314" s="264">
        <f>B314&amp;"-"&amp;C314</f>
        <v/>
      </c>
      <c r="B314" s="442" t="inlineStr">
        <is>
          <t>XI - Servicios Profesionales</t>
        </is>
      </c>
      <c r="C314" s="443" t="n">
        <v>9</v>
      </c>
      <c r="D314" s="264" t="inlineStr">
        <is>
          <t>Nacionalidad</t>
        </is>
      </c>
      <c r="E314" s="264" t="inlineStr">
        <is>
          <t>Nacionalidad de país o jurisdicción señalada por la UIF, o no determinada.</t>
        </is>
      </c>
      <c r="F314" s="264" t="inlineStr">
        <is>
          <t>Nacionalidad extranjera de país sin señalamiento.</t>
        </is>
      </c>
      <c r="G314" s="264" t="inlineStr">
        <is>
          <t>Nacionalidad mexicana.</t>
        </is>
      </c>
      <c r="H314" s="444" t="inlineStr">
        <is>
          <t>campo</t>
        </is>
      </c>
    </row>
    <row r="315" ht="18.75" customHeight="1" s="225">
      <c r="A315" s="264">
        <f>B315&amp;"-"&amp;C315</f>
        <v/>
      </c>
      <c r="B315" s="442" t="inlineStr">
        <is>
          <t>XI - Servicios Profesionales</t>
        </is>
      </c>
      <c r="C315" s="443" t="n">
        <v>10</v>
      </c>
      <c r="D315" s="264" t="inlineStr">
        <is>
          <t>País y entidad de residencia</t>
        </is>
      </c>
      <c r="E315" s="264" t="inlineStr">
        <is>
          <t>Residencia en jurisdicción de régimen fiscal preferente o señalada por deficiencias, o domicilio no verificable.</t>
        </is>
      </c>
      <c r="F315" s="264" t="inlineStr">
        <is>
          <t>Residencia en el extranjero sin señalamiento, o en entidad federativa señalada en la ENR.</t>
        </is>
      </c>
      <c r="G315" s="264" t="inlineStr">
        <is>
          <t>Residencia en México, en entidad federativa sin señalamiento en la ENR.</t>
        </is>
      </c>
      <c r="H315" s="444" t="inlineStr">
        <is>
          <t>campo</t>
        </is>
      </c>
    </row>
    <row r="316" ht="18.75" customHeight="1" s="225">
      <c r="A316" s="264">
        <f>B316&amp;"-"&amp;C316</f>
        <v/>
      </c>
      <c r="B316" s="442" t="inlineStr">
        <is>
          <t>XI - Servicios Profesionales</t>
        </is>
      </c>
      <c r="C316" s="443" t="n">
        <v>11</v>
      </c>
      <c r="D316" s="264" t="inlineStr">
        <is>
          <t>Condición de Persona Políticamente Expuesta</t>
        </is>
      </c>
      <c r="E316" s="264" t="inlineStr">
        <is>
          <t>Persona Políticamente Expuesta extranjera, o nacional cuyo comportamiento transaccional no corresponde con sus ingresos y funciones.</t>
        </is>
      </c>
      <c r="F316" s="264" t="inlineStr">
        <is>
          <t>Persona Políticamente Expuesta nacional con comportamiento congruente, o familiar o allegado de una.</t>
        </is>
      </c>
      <c r="G316" s="264" t="inlineStr">
        <is>
          <t>Sin condición de Persona Políticamente Expuesta, con búsqueda documentada.</t>
        </is>
      </c>
      <c r="H316" s="444" t="inlineStr">
        <is>
          <t>campo</t>
        </is>
      </c>
    </row>
    <row r="317" ht="18.75" customHeight="1" s="225">
      <c r="A317" s="264">
        <f>B317&amp;"-"&amp;C317</f>
        <v/>
      </c>
      <c r="B317" s="442" t="inlineStr">
        <is>
          <t>XI - Servicios Profesionales</t>
        </is>
      </c>
      <c r="C317" s="443" t="n">
        <v>12</v>
      </c>
      <c r="D317" s="264" t="inlineStr">
        <is>
          <t>Resultado de la búsqueda en listas</t>
        </is>
      </c>
      <c r="E317" s="264" t="inlineStr">
        <is>
          <t>Coincidencia positiva en listas de personas bloqueadas o de sanciones, o búsqueda no realizada o sin constancia.</t>
        </is>
      </c>
      <c r="F317" s="264" t="inlineStr">
        <is>
          <t>Coincidencia descartada por homonimia acreditada, con constancia.</t>
        </is>
      </c>
      <c r="G317" s="264" t="inlineStr">
        <is>
          <t>Sin coincidencia, con constancia de la búsqueda y su fecha.</t>
        </is>
      </c>
      <c r="H317" s="444" t="inlineStr">
        <is>
          <t>campo</t>
        </is>
      </c>
    </row>
    <row r="318" ht="18.75" customHeight="1" s="225">
      <c r="A318" s="264">
        <f>B318&amp;"-"&amp;C318</f>
        <v/>
      </c>
      <c r="B318" s="442" t="inlineStr">
        <is>
          <t>XI - Servicios Profesionales</t>
        </is>
      </c>
      <c r="C318" s="443" t="n">
        <v>13</v>
      </c>
      <c r="D318" s="264" t="inlineStr">
        <is>
          <t>Profundidad de la cadena de control</t>
        </is>
      </c>
      <c r="E318" s="264" t="inlineStr">
        <is>
          <t>No se logra identificar al Beneficiario Controlador de el cliente, o la cadena no es acreditable.</t>
        </is>
      </c>
      <c r="F318" s="264" t="inlineStr">
        <is>
          <t>El Beneficiario Controlador se identifica atravesando dos o más niveles societarios o fiduciarios.</t>
        </is>
      </c>
      <c r="G318" s="264" t="inlineStr">
        <is>
          <t>El Beneficiario Controlador se identifica en un solo nivel, o el cliente es su propio beneficiario.</t>
        </is>
      </c>
      <c r="H318" s="444" t="inlineStr">
        <is>
          <t>calculado</t>
        </is>
      </c>
    </row>
    <row r="319" ht="18.75" customHeight="1" s="225">
      <c r="A319" s="264">
        <f>B319&amp;"-"&amp;C319</f>
        <v/>
      </c>
      <c r="B319" s="442" t="inlineStr">
        <is>
          <t>XI - Servicios Profesionales</t>
        </is>
      </c>
      <c r="C319" s="443" t="n">
        <v>14</v>
      </c>
      <c r="D319" s="264" t="inlineStr">
        <is>
          <t>País donde se realiza la operación</t>
        </is>
      </c>
      <c r="E319" s="264" t="inlineStr">
        <is>
          <t>La prestación del servicio se pacta con o desde una jurisdicción de alto riesgo o no cooperante.</t>
        </is>
      </c>
      <c r="F319" s="264" t="inlineStr">
        <is>
          <t>La prestación del servicio se pacta con una jurisdicción extranjera sin señalamiento.</t>
        </is>
      </c>
      <c r="G319" s="264" t="inlineStr">
        <is>
          <t>La prestación del servicio se realiza íntegramente en México.</t>
        </is>
      </c>
      <c r="H319" s="444" t="inlineStr">
        <is>
          <t>campo</t>
        </is>
      </c>
    </row>
    <row r="320" ht="18.75" customHeight="1" s="225">
      <c r="A320" s="264">
        <f>B320&amp;"-"&amp;C320</f>
        <v/>
      </c>
      <c r="B320" s="442" t="inlineStr">
        <is>
          <t>XI - Servicios Profesionales</t>
        </is>
      </c>
      <c r="C320" s="443" t="n">
        <v>15</v>
      </c>
      <c r="D320" s="264" t="inlineStr">
        <is>
          <t>Entidad o municipio de la operación</t>
        </is>
      </c>
      <c r="E320" s="264" t="inlineStr">
        <is>
          <t>La prestación del servicio ocurre en un municipio o zona identificada de alto riesgo.</t>
        </is>
      </c>
      <c r="F320" s="264" t="inlineStr">
        <is>
          <t>La prestación del servicio ocurre en una entidad federativa con señalamiento en la ENR.</t>
        </is>
      </c>
      <c r="G320" s="264" t="inlineStr">
        <is>
          <t>La prestación del servicio ocurre en una entidad federativa sin señalamiento en la ENR.</t>
        </is>
      </c>
      <c r="H320" s="444" t="inlineStr">
        <is>
          <t>campo</t>
        </is>
      </c>
    </row>
    <row r="321" ht="18.75" customHeight="1" s="225">
      <c r="A321" s="264">
        <f>B321&amp;"-"&amp;C321</f>
        <v/>
      </c>
      <c r="B321" s="442" t="inlineStr">
        <is>
          <t>XI - Servicios Profesionales</t>
        </is>
      </c>
      <c r="C321" s="443" t="n">
        <v>16</v>
      </c>
      <c r="D321" s="264" t="inlineStr">
        <is>
          <t>Vínculo con jurisdicción sancionada o de acción requerida</t>
        </is>
      </c>
      <c r="E321" s="264" t="inlineStr">
        <is>
          <t>Hay exposición directa a una jurisdicción sancionada, en conflicto armado o de acción requerida del GAFI.</t>
        </is>
      </c>
      <c r="F321" s="264" t="inlineStr">
        <is>
          <t>La exposición es indirecta: una contraparte o la ruta de los fondos toca esa jurisdicción.</t>
        </is>
      </c>
      <c r="G321" s="264" t="inlineStr">
        <is>
          <t>Sin exposición a jurisdicciones sancionadas, en conflicto ni de acción requerida.</t>
        </is>
      </c>
      <c r="H321" s="444" t="inlineStr">
        <is>
          <t>campo</t>
        </is>
      </c>
    </row>
    <row r="322" ht="18.75" customHeight="1" s="225">
      <c r="A322" s="264">
        <f>B322&amp;"-"&amp;C322</f>
        <v/>
      </c>
      <c r="B322" s="442" t="inlineStr">
        <is>
          <t>XI - Servicios Profesionales</t>
        </is>
      </c>
      <c r="C322" s="443" t="n">
        <v>17</v>
      </c>
      <c r="D322" s="264" t="inlineStr">
        <is>
          <t>Coincidencia entre domicilio y lugar de la operación</t>
        </is>
      </c>
      <c r="E322" s="264" t="inlineStr">
        <is>
          <t>El domicilio de el cliente y el lugar de la prestación del servicio no coinciden, y no hay explicación documentada.</t>
        </is>
      </c>
      <c r="F322" s="264" t="inlineStr">
        <is>
          <t>No coinciden, pero consta por escrito la razón de operar en ese lugar.</t>
        </is>
      </c>
      <c r="G322" s="264" t="inlineStr">
        <is>
          <t>El domicilio de el cliente y el lugar de la prestación del servicio coinciden.</t>
        </is>
      </c>
      <c r="H322" s="444" t="inlineStr">
        <is>
          <t>calculado</t>
        </is>
      </c>
    </row>
    <row r="323" ht="18.75" customHeight="1" s="225">
      <c r="A323" s="264">
        <f>B323&amp;"-"&amp;C323</f>
        <v/>
      </c>
      <c r="B323" s="442" t="inlineStr">
        <is>
          <t>XI - Servicios Profesionales</t>
        </is>
      </c>
      <c r="C323" s="443" t="n">
        <v>18</v>
      </c>
      <c r="D323" s="264" t="inlineStr">
        <is>
          <t>Instrumento con que se paga</t>
        </is>
      </c>
      <c r="E323" s="264" t="inlineStr">
        <is>
          <t>Efectivo por encima de tu umbral interno, instrumento al portador, o pago en especie.</t>
        </is>
      </c>
      <c r="F323" s="264" t="inlineStr">
        <is>
          <t>Pago mixto, con un componente en efectivo por debajo de tu umbral interno.</t>
        </is>
      </c>
      <c r="G323" s="264" t="inlineStr">
        <is>
          <t>Transferencia electrónica o cheque nominativo desde una cuenta a nombre de el cliente.</t>
        </is>
      </c>
      <c r="H323" s="444" t="inlineStr">
        <is>
          <t>campo</t>
        </is>
      </c>
    </row>
    <row r="324" ht="18.75" customHeight="1" s="225">
      <c r="A324" s="264">
        <f>B324&amp;"-"&amp;C324</f>
        <v/>
      </c>
      <c r="B324" s="442" t="inlineStr">
        <is>
          <t>XI - Servicios Profesionales</t>
        </is>
      </c>
      <c r="C324" s="443" t="n">
        <v>19</v>
      </c>
      <c r="D324" s="264" t="inlineStr">
        <is>
          <t>Moneda de la operación</t>
        </is>
      </c>
      <c r="E324" s="264" t="inlineStr">
        <is>
          <t>Divisa distinta del dólar estadounidense y del euro, o activo virtual.</t>
        </is>
      </c>
      <c r="F324" s="264" t="inlineStr">
        <is>
          <t>Dólar estadounidense o euro, con soporte documental.</t>
        </is>
      </c>
      <c r="G324" s="264" t="inlineStr">
        <is>
          <t>Peso mexicano.</t>
        </is>
      </c>
      <c r="H324" s="444" t="inlineStr">
        <is>
          <t>campo</t>
        </is>
      </c>
    </row>
    <row r="325" ht="18.75" customHeight="1" s="225">
      <c r="A325" s="264">
        <f>B325&amp;"-"&amp;C325</f>
        <v/>
      </c>
      <c r="B325" s="442" t="inlineStr">
        <is>
          <t>XI - Servicios Profesionales</t>
        </is>
      </c>
      <c r="C325" s="443" t="n">
        <v>20</v>
      </c>
      <c r="D325" s="264" t="inlineStr">
        <is>
          <t>Monto frente al umbral de tu fracción</t>
        </is>
      </c>
      <c r="E325" s="264" t="inlineStr">
        <is>
          <t>La prestación del servicio iguala o supera el umbral de Aviso de tu fracción del artículo 17.</t>
        </is>
      </c>
      <c r="F325" s="264" t="inlineStr">
        <is>
          <t>La prestación del servicio se sitúa entre el umbral de identificación y el de Aviso.</t>
        </is>
      </c>
      <c r="G325" s="264" t="inlineStr">
        <is>
          <t>La prestación del servicio queda por debajo del umbral de identificación.</t>
        </is>
      </c>
      <c r="H325" s="444" t="inlineStr">
        <is>
          <t>calculado</t>
        </is>
      </c>
    </row>
    <row r="326" ht="18.75" customHeight="1" s="225">
      <c r="A326" s="264">
        <f>B326&amp;"-"&amp;C326</f>
        <v/>
      </c>
      <c r="B326" s="442" t="inlineStr">
        <is>
          <t>XI - Servicios Profesionales</t>
        </is>
      </c>
      <c r="C326" s="443" t="n">
        <v>21</v>
      </c>
      <c r="D326" s="264" t="inlineStr">
        <is>
          <t>Número y ritmo de operaciones en el periodo</t>
        </is>
      </c>
      <c r="E326" s="264" t="inlineStr">
        <is>
          <t>El cliente realiza cinco o más operaciones al año, o varias en intervalos cortos y regulares.</t>
        </is>
      </c>
      <c r="F326" s="264" t="inlineStr">
        <is>
          <t>El cliente realiza entre dos y cuatro operaciones al año.</t>
        </is>
      </c>
      <c r="G326" s="264" t="inlineStr">
        <is>
          <t>El cliente realiza una sola operación en el periodo.</t>
        </is>
      </c>
      <c r="H326" s="444" t="inlineStr">
        <is>
          <t>calculado</t>
        </is>
      </c>
    </row>
    <row r="327" ht="18.75" customHeight="1" s="225">
      <c r="A327" s="264">
        <f>B327&amp;"-"&amp;C327</f>
        <v/>
      </c>
      <c r="B327" s="442" t="inlineStr">
        <is>
          <t>XI - Servicios Profesionales</t>
        </is>
      </c>
      <c r="C327" s="443" t="n">
        <v>22</v>
      </c>
      <c r="D327" s="264" t="inlineStr">
        <is>
          <t>Canal: certeza de identificación del Cliente</t>
        </is>
      </c>
      <c r="E327" s="264" t="inlineStr">
        <is>
          <t>La operación llega por un gestor, plataforma o intermediario no acreditado: nadie responde por la identificación de el cliente, y quien opera puede no ser quien dice ser.</t>
        </is>
      </c>
      <c r="F327" s="264" t="inlineStr">
        <is>
          <t>Se identifica a el cliente de forma remota con verificación documental, o a través de un promotor o representante propio con contrato y responsable señalado.</t>
        </is>
      </c>
      <c r="G327" s="264" t="inlineStr">
        <is>
          <t>El cliente comparece de forma directa, o se le identifica en remoto con biometría y prueba de vida.</t>
        </is>
      </c>
      <c r="H327" s="444" t="inlineStr">
        <is>
          <t>campo</t>
        </is>
      </c>
    </row>
    <row r="328" ht="18.75" customHeight="1" s="225">
      <c r="A328" s="264">
        <f>B328&amp;"-"&amp;C328</f>
        <v/>
      </c>
      <c r="B328" s="442" t="inlineStr">
        <is>
          <t>XI - Servicios Profesionales</t>
        </is>
      </c>
      <c r="C328" s="443" t="n">
        <v>23</v>
      </c>
      <c r="D328" s="264" t="inlineStr">
        <is>
          <t>Acreditación del origen de los recursos</t>
        </is>
      </c>
      <c r="E328" s="264" t="inlineStr">
        <is>
          <t>El origen de los recursos se declara sin soporte documental, o no se manifiesta.</t>
        </is>
      </c>
      <c r="F328" s="264" t="inlineStr">
        <is>
          <t>El origen se declara y se acredita sólo de forma parcial.</t>
        </is>
      </c>
      <c r="G328" s="264" t="inlineStr">
        <is>
          <t>El origen se acredita con documentación verificable.</t>
        </is>
      </c>
      <c r="H328" s="444" t="inlineStr">
        <is>
          <t>bandera</t>
        </is>
      </c>
    </row>
    <row r="329" ht="18.75" customHeight="1" s="225">
      <c r="A329" s="264">
        <f>B329&amp;"-"&amp;C329</f>
        <v/>
      </c>
      <c r="B329" s="442" t="inlineStr">
        <is>
          <t>XI - Servicios Profesionales</t>
        </is>
      </c>
      <c r="C329" s="443" t="n">
        <v>24</v>
      </c>
      <c r="D329" s="264" t="inlineStr">
        <is>
          <t>Acreditación del destino de los recursos o del bien</t>
        </is>
      </c>
      <c r="E329" s="264" t="inlineStr">
        <is>
          <t>El destino no se manifiesta, o los recursos o el encargo profesional pasan a un tercero no relacionado con el cliente.</t>
        </is>
      </c>
      <c r="F329" s="264" t="inlineStr">
        <is>
          <t>El destino se declara y es verificable.</t>
        </is>
      </c>
      <c r="G329" s="264" t="inlineStr">
        <is>
          <t>El destino es el encargo profesional mismo, y queda registrado en la operación.</t>
        </is>
      </c>
      <c r="H329" s="444" t="inlineStr">
        <is>
          <t>bandera</t>
        </is>
      </c>
    </row>
    <row r="330" ht="18.75" customHeight="1" s="225">
      <c r="A330" s="264">
        <f>B330&amp;"-"&amp;C330</f>
        <v/>
      </c>
      <c r="B330" s="442" t="inlineStr">
        <is>
          <t>XI - Servicios Profesionales</t>
        </is>
      </c>
      <c r="C330" s="443" t="n">
        <v>25</v>
      </c>
      <c r="D330" s="264" t="inlineStr">
        <is>
          <t>Combinación de canal e instrumento idónea para el financiamiento al terrorismo</t>
        </is>
      </c>
      <c r="E330" s="264" t="inlineStr">
        <is>
          <t>La prestación del servicio combina contratación a distancia sin verificación reforzada con pagos en efectivo o instrumentos al portador.</t>
        </is>
      </c>
      <c r="F330" s="264" t="inlineStr">
        <is>
          <t>Concurre uno solo de los dos: o la contratación remota sin verificación reforzada, o el pago en instrumento no bancarizado.</t>
        </is>
      </c>
      <c r="G330" s="264" t="inlineStr">
        <is>
          <t>Ni la forma de contratar ni la de pagar permiten mover valor de forma anónima.</t>
        </is>
      </c>
      <c r="H330" s="444" t="inlineStr">
        <is>
          <t>bandera</t>
        </is>
      </c>
    </row>
    <row r="331" ht="18.75" customHeight="1" s="225">
      <c r="A331" s="264">
        <f>B331&amp;"-"&amp;C331</f>
        <v/>
      </c>
      <c r="B331" s="442" t="inlineStr">
        <is>
          <t>XII - NOTARIOS: Transmisión de inmuebles</t>
        </is>
      </c>
      <c r="C331" s="443" t="n">
        <v>1</v>
      </c>
      <c r="D331" s="264" t="inlineStr">
        <is>
          <t>Valor unitario de la operación</t>
        </is>
      </c>
      <c r="E331" s="264" t="inlineStr">
        <is>
          <t>El inmueble tiene un valor unitario muy por encima del ticket promedio de tu operación de doce meses.</t>
        </is>
      </c>
      <c r="F331" s="264" t="inlineStr">
        <is>
          <t>El inmueble tiene un valor unitario dentro del rango habitual de tu operación.</t>
        </is>
      </c>
      <c r="G331" s="264" t="inlineStr">
        <is>
          <t>El inmueble tiene un valor unitario por debajo de tu ticket promedio.</t>
        </is>
      </c>
      <c r="H331" s="444" t="inlineStr">
        <is>
          <t>calculado</t>
        </is>
      </c>
    </row>
    <row r="332" ht="18.75" customHeight="1" s="225">
      <c r="A332" s="264">
        <f>B332&amp;"-"&amp;C332</f>
        <v/>
      </c>
      <c r="B332" s="442" t="inlineStr">
        <is>
          <t>XII - NOTARIOS: Transmisión de inmuebles</t>
        </is>
      </c>
      <c r="C332" s="443" t="n">
        <v>2</v>
      </c>
      <c r="D332" s="264" t="inlineStr">
        <is>
          <t>Liquidez: facilidad de convertir en dinero</t>
        </is>
      </c>
      <c r="E332" s="264" t="inlineStr">
        <is>
          <t>El inmueble puede revenderse o cederse de inmediato y prácticamente a su valor íntegro.</t>
        </is>
      </c>
      <c r="F332" s="264" t="inlineStr">
        <is>
          <t>El inmueble puede revenderse, pero con trámite, plazo o pérdida de valor apreciable.</t>
        </is>
      </c>
      <c r="G332" s="264" t="inlineStr">
        <is>
          <t>El inmueble es difícil de revender: exige formalidades o registro, o pierde valor de forma significativa.</t>
        </is>
      </c>
      <c r="H332" s="444" t="inlineStr">
        <is>
          <t>bandera</t>
        </is>
      </c>
    </row>
    <row r="333" ht="18.75" customHeight="1" s="225">
      <c r="A333" s="264">
        <f>B333&amp;"-"&amp;C333</f>
        <v/>
      </c>
      <c r="B333" s="442" t="inlineStr">
        <is>
          <t>XII - NOTARIOS: Transmisión de inmuebles</t>
        </is>
      </c>
      <c r="C333" s="443" t="n">
        <v>3</v>
      </c>
      <c r="D333" s="264" t="inlineStr">
        <is>
          <t>Anonimato: si el beneficiario queda a la vista</t>
        </is>
      </c>
      <c r="E333" s="264" t="inlineStr">
        <is>
          <t>La escrituración de la transmisión admite que quien aparece no sea quien recibe el beneficio, sin que quede registro de quién es el beneficiario final.</t>
        </is>
      </c>
      <c r="F333" s="264" t="inlineStr">
        <is>
          <t>Se identifica a las partes, pero el beneficiario final se declara sin documento que lo respalde.</t>
        </is>
      </c>
      <c r="G333" s="264" t="inlineStr">
        <is>
          <t>Las partes y el beneficiario final coinciden, y ambos constan en el expediente.</t>
        </is>
      </c>
      <c r="H333" s="444" t="inlineStr">
        <is>
          <t>bandera</t>
        </is>
      </c>
    </row>
    <row r="334" ht="18.75" customHeight="1" s="225">
      <c r="A334" s="264">
        <f>B334&amp;"-"&amp;C334</f>
        <v/>
      </c>
      <c r="B334" s="442" t="inlineStr">
        <is>
          <t>XII - NOTARIOS: Transmisión de inmuebles</t>
        </is>
      </c>
      <c r="C334" s="443" t="n">
        <v>4</v>
      </c>
      <c r="D334" s="264" t="inlineStr">
        <is>
          <t>Ocultamiento de valor en el precio</t>
        </is>
      </c>
      <c r="E334" s="264" t="inlineStr">
        <is>
          <t>La escrituración de la transmisión admite sobrevaluar, subvaluar o fraccionar el precio sin que la contabilidad lo refleje.</t>
        </is>
      </c>
      <c r="F334" s="264" t="inlineStr">
        <is>
          <t>El precio se aparta del valor de referencia, pero existe explicación documentada de la diferencia.</t>
        </is>
      </c>
      <c r="G334" s="264" t="inlineStr">
        <is>
          <t>El precio corresponde al valor de referencia y queda registrado en la contabilidad.</t>
        </is>
      </c>
      <c r="H334" s="444" t="inlineStr">
        <is>
          <t>bandera</t>
        </is>
      </c>
    </row>
    <row r="335" ht="18.75" customHeight="1" s="225">
      <c r="A335" s="264">
        <f>B335&amp;"-"&amp;C335</f>
        <v/>
      </c>
      <c r="B335" s="442" t="inlineStr">
        <is>
          <t>XII - NOTARIOS: Transmisión de inmuebles</t>
        </is>
      </c>
      <c r="C335" s="443" t="n">
        <v>5</v>
      </c>
      <c r="D335" s="264" t="inlineStr">
        <is>
          <t>Exposición a personas señaladas por terrorismo</t>
        </is>
      </c>
      <c r="E335" s="264" t="inlineStr">
        <is>
          <t>Las partes, su beneficiario o su contraparte aparece en listas de sanciones o de organizaciones terroristas.</t>
        </is>
      </c>
      <c r="F335" s="264" t="inlineStr">
        <is>
          <t>Existe un vínculo indirecto —contraparte, domicilio o ruta de los fondos— con una jurisdicción en conflicto o de acción requerida.</t>
        </is>
      </c>
      <c r="G335" s="264" t="inlineStr">
        <is>
          <t>Sin coincidencias ni vínculos con esas listas ni con jurisdicciones en conflicto, con búsqueda documentada.</t>
        </is>
      </c>
      <c r="H335" s="444" t="inlineStr">
        <is>
          <t>campo</t>
        </is>
      </c>
    </row>
    <row r="336" ht="18.75" customHeight="1" s="225">
      <c r="A336" s="264">
        <f>B336&amp;"-"&amp;C336</f>
        <v/>
      </c>
      <c r="B336" s="442" t="inlineStr">
        <is>
          <t>XII - NOTARIOS: Transmisión de inmuebles</t>
        </is>
      </c>
      <c r="C336" s="443" t="n">
        <v>6</v>
      </c>
      <c r="D336" s="264" t="inlineStr">
        <is>
          <t>Tipo de persona</t>
        </is>
      </c>
      <c r="E336" s="264" t="inlineStr">
        <is>
          <t>El otorgante o adquirente es un fideicomiso u otro vehículo sin personalidad jurídica propia. No hay un titular único: la figura permite que quien transmite y quien adquiere el inmueble sean personas distintas y que ninguna aparezca en el contrato.</t>
        </is>
      </c>
      <c r="F336" s="264" t="inlineStr">
        <is>
          <t>El otorgante o adquirente es persona moral. La voluntad se forma en órganos y la propiedad está en socios, así que hay que llegar al Beneficiario Controlador para saber quién está realmente detrás.</t>
        </is>
      </c>
      <c r="G336" s="264" t="inlineStr">
        <is>
          <t>El otorgante o adquirente es persona física. Coincide quien transmite y quien adquiere el inmueble, y la identificación es directa contra un solo expediente.</t>
        </is>
      </c>
      <c r="H336" s="444" t="inlineStr">
        <is>
          <t>campo</t>
        </is>
      </c>
    </row>
    <row r="337" ht="18.75" customHeight="1" s="225">
      <c r="A337" s="264">
        <f>B337&amp;"-"&amp;C337</f>
        <v/>
      </c>
      <c r="B337" s="442" t="inlineStr">
        <is>
          <t>XII - NOTARIOS: Transmisión de inmuebles</t>
        </is>
      </c>
      <c r="C337" s="443" t="n">
        <v>7</v>
      </c>
      <c r="D337" s="264" t="inlineStr">
        <is>
          <t>Antigüedad del Cliente</t>
        </is>
      </c>
      <c r="E337" s="264" t="inlineStr">
        <is>
          <t>Persona moral constituida hace menos de dos años, o persona física menor de veintitrés años.</t>
        </is>
      </c>
      <c r="F337" s="264" t="inlineStr">
        <is>
          <t>Persona moral constituida hace entre dos y cinco años.</t>
        </is>
      </c>
      <c r="G337" s="264" t="inlineStr">
        <is>
          <t>Persona moral con más de cinco años de constituida, o persona física de veintitrés años en adelante.</t>
        </is>
      </c>
      <c r="H337" s="444" t="inlineStr">
        <is>
          <t>campo</t>
        </is>
      </c>
    </row>
    <row r="338" ht="18.75" customHeight="1" s="225">
      <c r="A338" s="264">
        <f>B338&amp;"-"&amp;C338</f>
        <v/>
      </c>
      <c r="B338" s="442" t="inlineStr">
        <is>
          <t>XII - NOTARIOS: Transmisión de inmuebles</t>
        </is>
      </c>
      <c r="C338" s="443" t="n">
        <v>8</v>
      </c>
      <c r="D338" s="264" t="inlineStr">
        <is>
          <t>Giro o actividad declarada</t>
        </is>
      </c>
      <c r="E338" s="264" t="inlineStr">
        <is>
          <t>El giro que declara las partes es a su vez una Actividad Vulnerable del artículo 17, o no se acredita con documento alguno.</t>
        </is>
      </c>
      <c r="F338" s="264" t="inlineStr">
        <is>
          <t>El giro se declara y se acredita sólo de forma parcial.</t>
        </is>
      </c>
      <c r="G338" s="264" t="inlineStr">
        <is>
          <t>El giro se acredita con documento: constancia de situación fiscal, acta constitutiva o comprobante de empleo.</t>
        </is>
      </c>
      <c r="H338" s="444" t="inlineStr">
        <is>
          <t>campo</t>
        </is>
      </c>
    </row>
    <row r="339" ht="18.75" customHeight="1" s="225">
      <c r="A339" s="264">
        <f>B339&amp;"-"&amp;C339</f>
        <v/>
      </c>
      <c r="B339" s="442" t="inlineStr">
        <is>
          <t>XII - NOTARIOS: Transmisión de inmuebles</t>
        </is>
      </c>
      <c r="C339" s="443" t="n">
        <v>9</v>
      </c>
      <c r="D339" s="264" t="inlineStr">
        <is>
          <t>Nacionalidad</t>
        </is>
      </c>
      <c r="E339" s="264" t="inlineStr">
        <is>
          <t>Nacionalidad de país o jurisdicción señalada por la UIF, o no determinada.</t>
        </is>
      </c>
      <c r="F339" s="264" t="inlineStr">
        <is>
          <t>Nacionalidad extranjera de país sin señalamiento.</t>
        </is>
      </c>
      <c r="G339" s="264" t="inlineStr">
        <is>
          <t>Nacionalidad mexicana.</t>
        </is>
      </c>
      <c r="H339" s="444" t="inlineStr">
        <is>
          <t>campo</t>
        </is>
      </c>
    </row>
    <row r="340" ht="18.75" customHeight="1" s="225">
      <c r="A340" s="264">
        <f>B340&amp;"-"&amp;C340</f>
        <v/>
      </c>
      <c r="B340" s="442" t="inlineStr">
        <is>
          <t>XII - NOTARIOS: Transmisión de inmuebles</t>
        </is>
      </c>
      <c r="C340" s="443" t="n">
        <v>10</v>
      </c>
      <c r="D340" s="264" t="inlineStr">
        <is>
          <t>País y entidad de residencia</t>
        </is>
      </c>
      <c r="E340" s="264" t="inlineStr">
        <is>
          <t>Residencia en jurisdicción de régimen fiscal preferente o señalada por deficiencias, o domicilio no verificable.</t>
        </is>
      </c>
      <c r="F340" s="264" t="inlineStr">
        <is>
          <t>Residencia en el extranjero sin señalamiento, o en entidad federativa señalada en la ENR.</t>
        </is>
      </c>
      <c r="G340" s="264" t="inlineStr">
        <is>
          <t>Residencia en México, en entidad federativa sin señalamiento en la ENR.</t>
        </is>
      </c>
      <c r="H340" s="444" t="inlineStr">
        <is>
          <t>campo</t>
        </is>
      </c>
    </row>
    <row r="341" ht="18.75" customHeight="1" s="225">
      <c r="A341" s="264">
        <f>B341&amp;"-"&amp;C341</f>
        <v/>
      </c>
      <c r="B341" s="442" t="inlineStr">
        <is>
          <t>XII - NOTARIOS: Transmisión de inmuebles</t>
        </is>
      </c>
      <c r="C341" s="443" t="n">
        <v>11</v>
      </c>
      <c r="D341" s="264" t="inlineStr">
        <is>
          <t>Condición de Persona Políticamente Expuesta</t>
        </is>
      </c>
      <c r="E341" s="264" t="inlineStr">
        <is>
          <t>Persona Políticamente Expuesta extranjera, o nacional cuyo comportamiento transaccional no corresponde con sus ingresos y funciones.</t>
        </is>
      </c>
      <c r="F341" s="264" t="inlineStr">
        <is>
          <t>Persona Políticamente Expuesta nacional con comportamiento congruente, o familiar o allegado de una.</t>
        </is>
      </c>
      <c r="G341" s="264" t="inlineStr">
        <is>
          <t>Sin condición de Persona Políticamente Expuesta, con búsqueda documentada.</t>
        </is>
      </c>
      <c r="H341" s="444" t="inlineStr">
        <is>
          <t>campo</t>
        </is>
      </c>
    </row>
    <row r="342" ht="18.75" customHeight="1" s="225">
      <c r="A342" s="264">
        <f>B342&amp;"-"&amp;C342</f>
        <v/>
      </c>
      <c r="B342" s="442" t="inlineStr">
        <is>
          <t>XII - NOTARIOS: Transmisión de inmuebles</t>
        </is>
      </c>
      <c r="C342" s="443" t="n">
        <v>12</v>
      </c>
      <c r="D342" s="264" t="inlineStr">
        <is>
          <t>Resultado de la búsqueda en listas</t>
        </is>
      </c>
      <c r="E342" s="264" t="inlineStr">
        <is>
          <t>Coincidencia positiva en listas de personas bloqueadas o de sanciones, o búsqueda no realizada o sin constancia.</t>
        </is>
      </c>
      <c r="F342" s="264" t="inlineStr">
        <is>
          <t>Coincidencia descartada por homonimia acreditada, con constancia.</t>
        </is>
      </c>
      <c r="G342" s="264" t="inlineStr">
        <is>
          <t>Sin coincidencia, con constancia de la búsqueda y su fecha.</t>
        </is>
      </c>
      <c r="H342" s="444" t="inlineStr">
        <is>
          <t>campo</t>
        </is>
      </c>
    </row>
    <row r="343" ht="18.75" customHeight="1" s="225">
      <c r="A343" s="264">
        <f>B343&amp;"-"&amp;C343</f>
        <v/>
      </c>
      <c r="B343" s="442" t="inlineStr">
        <is>
          <t>XII - NOTARIOS: Transmisión de inmuebles</t>
        </is>
      </c>
      <c r="C343" s="443" t="n">
        <v>13</v>
      </c>
      <c r="D343" s="264" t="inlineStr">
        <is>
          <t>Profundidad de la cadena de control</t>
        </is>
      </c>
      <c r="E343" s="264" t="inlineStr">
        <is>
          <t>No se logra identificar al Beneficiario Controlador de las partes, o la cadena no es acreditable.</t>
        </is>
      </c>
      <c r="F343" s="264" t="inlineStr">
        <is>
          <t>El Beneficiario Controlador se identifica atravesando dos o más niveles societarios o fiduciarios.</t>
        </is>
      </c>
      <c r="G343" s="264" t="inlineStr">
        <is>
          <t>El Beneficiario Controlador se identifica en un solo nivel, o las partes es su propio beneficiario.</t>
        </is>
      </c>
      <c r="H343" s="444" t="inlineStr">
        <is>
          <t>calculado</t>
        </is>
      </c>
    </row>
    <row r="344" ht="18.75" customHeight="1" s="225">
      <c r="A344" s="264">
        <f>B344&amp;"-"&amp;C344</f>
        <v/>
      </c>
      <c r="B344" s="442" t="inlineStr">
        <is>
          <t>XII - NOTARIOS: Transmisión de inmuebles</t>
        </is>
      </c>
      <c r="C344" s="443" t="n">
        <v>14</v>
      </c>
      <c r="D344" s="264" t="inlineStr">
        <is>
          <t>País donde se realiza la operación</t>
        </is>
      </c>
      <c r="E344" s="264" t="inlineStr">
        <is>
          <t>La escrituración de la transmisión se pacta con o desde una jurisdicción de alto riesgo o no cooperante.</t>
        </is>
      </c>
      <c r="F344" s="264" t="inlineStr">
        <is>
          <t>La escrituración de la transmisión se pacta con una jurisdicción extranjera sin señalamiento.</t>
        </is>
      </c>
      <c r="G344" s="264" t="inlineStr">
        <is>
          <t>La escrituración de la transmisión se realiza íntegramente en México.</t>
        </is>
      </c>
      <c r="H344" s="444" t="inlineStr">
        <is>
          <t>campo</t>
        </is>
      </c>
    </row>
    <row r="345" ht="18.75" customHeight="1" s="225">
      <c r="A345" s="264">
        <f>B345&amp;"-"&amp;C345</f>
        <v/>
      </c>
      <c r="B345" s="442" t="inlineStr">
        <is>
          <t>XII - NOTARIOS: Transmisión de inmuebles</t>
        </is>
      </c>
      <c r="C345" s="443" t="n">
        <v>15</v>
      </c>
      <c r="D345" s="264" t="inlineStr">
        <is>
          <t>Entidad o municipio de la operación</t>
        </is>
      </c>
      <c r="E345" s="264" t="inlineStr">
        <is>
          <t>La escrituración de la transmisión ocurre en un municipio o zona identificada de alto riesgo.</t>
        </is>
      </c>
      <c r="F345" s="264" t="inlineStr">
        <is>
          <t>La escrituración de la transmisión ocurre en una entidad federativa con señalamiento en la ENR.</t>
        </is>
      </c>
      <c r="G345" s="264" t="inlineStr">
        <is>
          <t>La escrituración de la transmisión ocurre en una entidad federativa sin señalamiento en la ENR.</t>
        </is>
      </c>
      <c r="H345" s="444" t="inlineStr">
        <is>
          <t>campo</t>
        </is>
      </c>
    </row>
    <row r="346" ht="18.75" customHeight="1" s="225">
      <c r="A346" s="264">
        <f>B346&amp;"-"&amp;C346</f>
        <v/>
      </c>
      <c r="B346" s="442" t="inlineStr">
        <is>
          <t>XII - NOTARIOS: Transmisión de inmuebles</t>
        </is>
      </c>
      <c r="C346" s="443" t="n">
        <v>16</v>
      </c>
      <c r="D346" s="264" t="inlineStr">
        <is>
          <t>Vínculo con jurisdicción sancionada o de acción requerida</t>
        </is>
      </c>
      <c r="E346" s="264" t="inlineStr">
        <is>
          <t>Hay exposición directa a una jurisdicción sancionada, en conflicto armado o de acción requerida del GAFI.</t>
        </is>
      </c>
      <c r="F346" s="264" t="inlineStr">
        <is>
          <t>La exposición es indirecta: una contraparte o la ruta de los fondos toca esa jurisdicción.</t>
        </is>
      </c>
      <c r="G346" s="264" t="inlineStr">
        <is>
          <t>Sin exposición a jurisdicciones sancionadas, en conflicto ni de acción requerida.</t>
        </is>
      </c>
      <c r="H346" s="444" t="inlineStr">
        <is>
          <t>campo</t>
        </is>
      </c>
    </row>
    <row r="347" ht="18.75" customHeight="1" s="225">
      <c r="A347" s="264">
        <f>B347&amp;"-"&amp;C347</f>
        <v/>
      </c>
      <c r="B347" s="442" t="inlineStr">
        <is>
          <t>XII - NOTARIOS: Transmisión de inmuebles</t>
        </is>
      </c>
      <c r="C347" s="443" t="n">
        <v>17</v>
      </c>
      <c r="D347" s="264" t="inlineStr">
        <is>
          <t>Coincidencia entre domicilio y lugar de la operación</t>
        </is>
      </c>
      <c r="E347" s="264" t="inlineStr">
        <is>
          <t>El domicilio de las partes y el lugar de la escrituración de la transmisión no coinciden, y no hay explicación documentada.</t>
        </is>
      </c>
      <c r="F347" s="264" t="inlineStr">
        <is>
          <t>No coinciden, pero consta por escrito la razón de operar en ese lugar.</t>
        </is>
      </c>
      <c r="G347" s="264" t="inlineStr">
        <is>
          <t>El domicilio de las partes y el lugar de la escrituración de la transmisión coinciden.</t>
        </is>
      </c>
      <c r="H347" s="444" t="inlineStr">
        <is>
          <t>calculado</t>
        </is>
      </c>
    </row>
    <row r="348" ht="18.75" customHeight="1" s="225">
      <c r="A348" s="264">
        <f>B348&amp;"-"&amp;C348</f>
        <v/>
      </c>
      <c r="B348" s="442" t="inlineStr">
        <is>
          <t>XII - NOTARIOS: Transmisión de inmuebles</t>
        </is>
      </c>
      <c r="C348" s="443" t="n">
        <v>18</v>
      </c>
      <c r="D348" s="264" t="inlineStr">
        <is>
          <t>Instrumento con que se paga</t>
        </is>
      </c>
      <c r="E348" s="264" t="inlineStr">
        <is>
          <t>Efectivo por encima de tu umbral interno, instrumento al portador, o pago en especie.</t>
        </is>
      </c>
      <c r="F348" s="264" t="inlineStr">
        <is>
          <t>Pago mixto, con un componente en efectivo por debajo de tu umbral interno.</t>
        </is>
      </c>
      <c r="G348" s="264" t="inlineStr">
        <is>
          <t>Transferencia electrónica o cheque nominativo desde una cuenta a nombre de las partes.</t>
        </is>
      </c>
      <c r="H348" s="444" t="inlineStr">
        <is>
          <t>campo</t>
        </is>
      </c>
    </row>
    <row r="349" ht="18.75" customHeight="1" s="225">
      <c r="A349" s="264">
        <f>B349&amp;"-"&amp;C349</f>
        <v/>
      </c>
      <c r="B349" s="442" t="inlineStr">
        <is>
          <t>XII - NOTARIOS: Transmisión de inmuebles</t>
        </is>
      </c>
      <c r="C349" s="443" t="n">
        <v>19</v>
      </c>
      <c r="D349" s="264" t="inlineStr">
        <is>
          <t>Moneda de la operación</t>
        </is>
      </c>
      <c r="E349" s="264" t="inlineStr">
        <is>
          <t>Divisa distinta del dólar estadounidense y del euro, o activo virtual.</t>
        </is>
      </c>
      <c r="F349" s="264" t="inlineStr">
        <is>
          <t>Dólar estadounidense o euro, con soporte documental.</t>
        </is>
      </c>
      <c r="G349" s="264" t="inlineStr">
        <is>
          <t>Peso mexicano.</t>
        </is>
      </c>
      <c r="H349" s="444" t="inlineStr">
        <is>
          <t>campo</t>
        </is>
      </c>
    </row>
    <row r="350" ht="18.75" customHeight="1" s="225">
      <c r="A350" s="264">
        <f>B350&amp;"-"&amp;C350</f>
        <v/>
      </c>
      <c r="B350" s="442" t="inlineStr">
        <is>
          <t>XII - NOTARIOS: Transmisión de inmuebles</t>
        </is>
      </c>
      <c r="C350" s="443" t="n">
        <v>20</v>
      </c>
      <c r="D350" s="264" t="inlineStr">
        <is>
          <t>Monto frente al umbral de tu fracción</t>
        </is>
      </c>
      <c r="E350" s="264" t="inlineStr">
        <is>
          <t>La escrituración de la transmisión iguala o supera el umbral de Aviso de tu fracción del artículo 17.</t>
        </is>
      </c>
      <c r="F350" s="264" t="inlineStr">
        <is>
          <t>La escrituración de la transmisión se sitúa entre el umbral de identificación y el de Aviso.</t>
        </is>
      </c>
      <c r="G350" s="264" t="inlineStr">
        <is>
          <t>La escrituración de la transmisión queda por debajo del umbral de identificación.</t>
        </is>
      </c>
      <c r="H350" s="444" t="inlineStr">
        <is>
          <t>calculado</t>
        </is>
      </c>
    </row>
    <row r="351" ht="18.75" customHeight="1" s="225">
      <c r="A351" s="264">
        <f>B351&amp;"-"&amp;C351</f>
        <v/>
      </c>
      <c r="B351" s="442" t="inlineStr">
        <is>
          <t>XII - NOTARIOS: Transmisión de inmuebles</t>
        </is>
      </c>
      <c r="C351" s="443" t="n">
        <v>21</v>
      </c>
      <c r="D351" s="264" t="inlineStr">
        <is>
          <t>Número y ritmo de operaciones en el periodo</t>
        </is>
      </c>
      <c r="E351" s="264" t="inlineStr">
        <is>
          <t>Las partes realiza cinco o más operaciones al año, o varias en intervalos cortos y regulares.</t>
        </is>
      </c>
      <c r="F351" s="264" t="inlineStr">
        <is>
          <t>Las partes realiza entre dos y cuatro operaciones al año.</t>
        </is>
      </c>
      <c r="G351" s="264" t="inlineStr">
        <is>
          <t>Las partes realiza una sola operación en el periodo.</t>
        </is>
      </c>
      <c r="H351" s="444" t="inlineStr">
        <is>
          <t>calculado</t>
        </is>
      </c>
    </row>
    <row r="352" ht="18.75" customHeight="1" s="225">
      <c r="A352" s="264">
        <f>B352&amp;"-"&amp;C352</f>
        <v/>
      </c>
      <c r="B352" s="442" t="inlineStr">
        <is>
          <t>XII - NOTARIOS: Transmisión de inmuebles</t>
        </is>
      </c>
      <c r="C352" s="443" t="n">
        <v>22</v>
      </c>
      <c r="D352" s="264" t="inlineStr">
        <is>
          <t>Canal: certeza de identificación del Cliente</t>
        </is>
      </c>
      <c r="E352" s="264" t="inlineStr">
        <is>
          <t>La operación llega por un gestor, plataforma o intermediario no acreditado: nadie responde por la identificación de las partes, y quien opera puede no ser quien dice ser.</t>
        </is>
      </c>
      <c r="F352" s="264" t="inlineStr">
        <is>
          <t>Se identifica a las partes de forma remota con verificación documental, o a través de un promotor o representante propio con contrato y responsable señalado.</t>
        </is>
      </c>
      <c r="G352" s="264" t="inlineStr">
        <is>
          <t>Las partes comparece de forma directa, o se le identifica en remoto con biometría y prueba de vida.</t>
        </is>
      </c>
      <c r="H352" s="444" t="inlineStr">
        <is>
          <t>campo</t>
        </is>
      </c>
    </row>
    <row r="353" ht="18.75" customHeight="1" s="225">
      <c r="A353" s="264">
        <f>B353&amp;"-"&amp;C353</f>
        <v/>
      </c>
      <c r="B353" s="442" t="inlineStr">
        <is>
          <t>XII - NOTARIOS: Transmisión de inmuebles</t>
        </is>
      </c>
      <c r="C353" s="443" t="n">
        <v>23</v>
      </c>
      <c r="D353" s="264" t="inlineStr">
        <is>
          <t>Acreditación del origen de los recursos</t>
        </is>
      </c>
      <c r="E353" s="264" t="inlineStr">
        <is>
          <t>El origen de los recursos se declara sin soporte documental, o no se manifiesta.</t>
        </is>
      </c>
      <c r="F353" s="264" t="inlineStr">
        <is>
          <t>El origen se declara y se acredita sólo de forma parcial.</t>
        </is>
      </c>
      <c r="G353" s="264" t="inlineStr">
        <is>
          <t>El origen se acredita con documentación verificable.</t>
        </is>
      </c>
      <c r="H353" s="444" t="inlineStr">
        <is>
          <t>bandera</t>
        </is>
      </c>
    </row>
    <row r="354" ht="18.75" customHeight="1" s="225">
      <c r="A354" s="264">
        <f>B354&amp;"-"&amp;C354</f>
        <v/>
      </c>
      <c r="B354" s="442" t="inlineStr">
        <is>
          <t>XII - NOTARIOS: Transmisión de inmuebles</t>
        </is>
      </c>
      <c r="C354" s="443" t="n">
        <v>24</v>
      </c>
      <c r="D354" s="264" t="inlineStr">
        <is>
          <t>Acreditación del destino de los recursos o del bien</t>
        </is>
      </c>
      <c r="E354" s="264" t="inlineStr">
        <is>
          <t>El destino no se manifiesta, o los recursos o el inmueble pasan a un tercero no relacionado con las partes.</t>
        </is>
      </c>
      <c r="F354" s="264" t="inlineStr">
        <is>
          <t>El destino se declara y es verificable.</t>
        </is>
      </c>
      <c r="G354" s="264" t="inlineStr">
        <is>
          <t>El destino es el inmueble mismo, y queda registrado en la operación.</t>
        </is>
      </c>
      <c r="H354" s="444" t="inlineStr">
        <is>
          <t>bandera</t>
        </is>
      </c>
    </row>
    <row r="355" ht="18.75" customHeight="1" s="225">
      <c r="A355" s="264">
        <f>B355&amp;"-"&amp;C355</f>
        <v/>
      </c>
      <c r="B355" s="442" t="inlineStr">
        <is>
          <t>XII - NOTARIOS: Transmisión de inmuebles</t>
        </is>
      </c>
      <c r="C355" s="443" t="n">
        <v>25</v>
      </c>
      <c r="D355" s="264" t="inlineStr">
        <is>
          <t>Combinación de canal e instrumento idónea para el financiamiento al terrorismo</t>
        </is>
      </c>
      <c r="E355" s="264" t="inlineStr">
        <is>
          <t>La escrituración de la transmisión combina contratación a distancia sin verificación reforzada con pagos en efectivo o instrumentos al portador.</t>
        </is>
      </c>
      <c r="F355" s="264" t="inlineStr">
        <is>
          <t>Concurre uno solo de los dos: o la contratación remota sin verificación reforzada, o el pago en instrumento no bancarizado.</t>
        </is>
      </c>
      <c r="G355" s="264" t="inlineStr">
        <is>
          <t>Ni la forma de contratar ni la de pagar permiten mover valor de forma anónima.</t>
        </is>
      </c>
      <c r="H355" s="444" t="inlineStr">
        <is>
          <t>bandera</t>
        </is>
      </c>
    </row>
    <row r="356" ht="18.75" customHeight="1" s="225">
      <c r="A356" s="264">
        <f>B356&amp;"-"&amp;C356</f>
        <v/>
      </c>
      <c r="B356" s="442" t="inlineStr">
        <is>
          <t>XII - NOTARIOS: Poderes irrevocables</t>
        </is>
      </c>
      <c r="C356" s="443" t="n">
        <v>1</v>
      </c>
      <c r="D356" s="264" t="inlineStr">
        <is>
          <t>Valor unitario de la operación</t>
        </is>
      </c>
      <c r="E356" s="264" t="inlineStr">
        <is>
          <t>El poder otorgado tiene un valor unitario muy por encima del ticket promedio de tu operación de doce meses.</t>
        </is>
      </c>
      <c r="F356" s="264" t="inlineStr">
        <is>
          <t>El poder otorgado tiene un valor unitario dentro del rango habitual de tu operación.</t>
        </is>
      </c>
      <c r="G356" s="264" t="inlineStr">
        <is>
          <t>El poder otorgado tiene un valor unitario por debajo de tu ticket promedio.</t>
        </is>
      </c>
      <c r="H356" s="444" t="inlineStr">
        <is>
          <t>calculado</t>
        </is>
      </c>
    </row>
    <row r="357" ht="18.75" customHeight="1" s="225">
      <c r="A357" s="264">
        <f>B357&amp;"-"&amp;C357</f>
        <v/>
      </c>
      <c r="B357" s="442" t="inlineStr">
        <is>
          <t>XII - NOTARIOS: Poderes irrevocables</t>
        </is>
      </c>
      <c r="C357" s="443" t="n">
        <v>2</v>
      </c>
      <c r="D357" s="264" t="inlineStr">
        <is>
          <t>Liquidez: facilidad de convertir en dinero</t>
        </is>
      </c>
      <c r="E357" s="264" t="inlineStr">
        <is>
          <t>El poder otorgado puede revenderse o cederse de inmediato y prácticamente a su valor íntegro.</t>
        </is>
      </c>
      <c r="F357" s="264" t="inlineStr">
        <is>
          <t>El poder otorgado puede revenderse, pero con trámite, plazo o pérdida de valor apreciable.</t>
        </is>
      </c>
      <c r="G357" s="264" t="inlineStr">
        <is>
          <t>El poder otorgado es difícil de revender: exige formalidades o registro, o pierde valor de forma significativa.</t>
        </is>
      </c>
      <c r="H357" s="444" t="inlineStr">
        <is>
          <t>bandera</t>
        </is>
      </c>
    </row>
    <row r="358" ht="18.75" customHeight="1" s="225">
      <c r="A358" s="264">
        <f>B358&amp;"-"&amp;C358</f>
        <v/>
      </c>
      <c r="B358" s="442" t="inlineStr">
        <is>
          <t>XII - NOTARIOS: Poderes irrevocables</t>
        </is>
      </c>
      <c r="C358" s="443" t="n">
        <v>3</v>
      </c>
      <c r="D358" s="264" t="inlineStr">
        <is>
          <t>Anonimato: si el beneficiario queda a la vista</t>
        </is>
      </c>
      <c r="E358" s="264" t="inlineStr">
        <is>
          <t>El otorgamiento del poder admite que quien aparece no sea quien recibe el beneficio, sin que quede registro de quién es el beneficiario final.</t>
        </is>
      </c>
      <c r="F358" s="264" t="inlineStr">
        <is>
          <t>Se identifica a el poderdante, pero el beneficiario final se declara sin documento que lo respalde.</t>
        </is>
      </c>
      <c r="G358" s="264" t="inlineStr">
        <is>
          <t>El poderdante y el beneficiario final coinciden, y ambos constan en el expediente.</t>
        </is>
      </c>
      <c r="H358" s="444" t="inlineStr">
        <is>
          <t>bandera</t>
        </is>
      </c>
    </row>
    <row r="359" ht="18.75" customHeight="1" s="225">
      <c r="A359" s="264">
        <f>B359&amp;"-"&amp;C359</f>
        <v/>
      </c>
      <c r="B359" s="442" t="inlineStr">
        <is>
          <t>XII - NOTARIOS: Poderes irrevocables</t>
        </is>
      </c>
      <c r="C359" s="443" t="n">
        <v>4</v>
      </c>
      <c r="D359" s="264" t="inlineStr">
        <is>
          <t>Ocultamiento de valor en el precio</t>
        </is>
      </c>
      <c r="E359" s="264" t="inlineStr">
        <is>
          <t>El otorgamiento del poder admite sobrevaluar, subvaluar o fraccionar el precio sin que la contabilidad lo refleje.</t>
        </is>
      </c>
      <c r="F359" s="264" t="inlineStr">
        <is>
          <t>El precio se aparta del valor de referencia, pero existe explicación documentada de la diferencia.</t>
        </is>
      </c>
      <c r="G359" s="264" t="inlineStr">
        <is>
          <t>El precio corresponde al valor de referencia y queda registrado en la contabilidad.</t>
        </is>
      </c>
      <c r="H359" s="444" t="inlineStr">
        <is>
          <t>bandera</t>
        </is>
      </c>
    </row>
    <row r="360" ht="18.75" customHeight="1" s="225">
      <c r="A360" s="264">
        <f>B360&amp;"-"&amp;C360</f>
        <v/>
      </c>
      <c r="B360" s="442" t="inlineStr">
        <is>
          <t>XII - NOTARIOS: Poderes irrevocables</t>
        </is>
      </c>
      <c r="C360" s="443" t="n">
        <v>5</v>
      </c>
      <c r="D360" s="264" t="inlineStr">
        <is>
          <t>Exposición a personas señaladas por terrorismo</t>
        </is>
      </c>
      <c r="E360" s="264" t="inlineStr">
        <is>
          <t>El poderdante, su beneficiario o su contraparte aparece en listas de sanciones o de organizaciones terroristas.</t>
        </is>
      </c>
      <c r="F360" s="264" t="inlineStr">
        <is>
          <t>Existe un vínculo indirecto —contraparte, domicilio o ruta de los fondos— con una jurisdicción en conflicto o de acción requerida.</t>
        </is>
      </c>
      <c r="G360" s="264" t="inlineStr">
        <is>
          <t>Sin coincidencias ni vínculos con esas listas ni con jurisdicciones en conflicto, con búsqueda documentada.</t>
        </is>
      </c>
      <c r="H360" s="444" t="inlineStr">
        <is>
          <t>campo</t>
        </is>
      </c>
    </row>
    <row r="361" ht="18.75" customHeight="1" s="225">
      <c r="A361" s="264">
        <f>B361&amp;"-"&amp;C361</f>
        <v/>
      </c>
      <c r="B361" s="442" t="inlineStr">
        <is>
          <t>XII - NOTARIOS: Poderes irrevocables</t>
        </is>
      </c>
      <c r="C361" s="443" t="n">
        <v>6</v>
      </c>
      <c r="D361" s="264" t="inlineStr">
        <is>
          <t>Tipo de persona</t>
        </is>
      </c>
      <c r="E361" s="264" t="inlineStr">
        <is>
          <t>El poderdante es un fideicomiso u otro vehículo sin personalidad jurídica propia. No hay un titular único: la figura permite que quien otorga el poder y quien lo ejerce sean personas distintas y que ninguna aparezca en el contrato.</t>
        </is>
      </c>
      <c r="F361" s="264" t="inlineStr">
        <is>
          <t>El poderdante es persona moral. La voluntad se forma en órganos y la propiedad está en socios, así que hay que llegar al Beneficiario Controlador para saber quién está realmente detrás.</t>
        </is>
      </c>
      <c r="G361" s="264" t="inlineStr">
        <is>
          <t>El poderdante es persona física. Coincide quien otorga el poder y quien lo ejerce, y la identificación es directa contra un solo expediente.</t>
        </is>
      </c>
      <c r="H361" s="444" t="inlineStr">
        <is>
          <t>campo</t>
        </is>
      </c>
    </row>
    <row r="362" ht="18.75" customHeight="1" s="225">
      <c r="A362" s="264">
        <f>B362&amp;"-"&amp;C362</f>
        <v/>
      </c>
      <c r="B362" s="442" t="inlineStr">
        <is>
          <t>XII - NOTARIOS: Poderes irrevocables</t>
        </is>
      </c>
      <c r="C362" s="443" t="n">
        <v>7</v>
      </c>
      <c r="D362" s="264" t="inlineStr">
        <is>
          <t>Antigüedad del Cliente</t>
        </is>
      </c>
      <c r="E362" s="264" t="inlineStr">
        <is>
          <t>Persona moral constituida hace menos de dos años, o persona física menor de veintitrés años.</t>
        </is>
      </c>
      <c r="F362" s="264" t="inlineStr">
        <is>
          <t>Persona moral constituida hace entre dos y cinco años.</t>
        </is>
      </c>
      <c r="G362" s="264" t="inlineStr">
        <is>
          <t>Persona moral con más de cinco años de constituida, o persona física de veintitrés años en adelante.</t>
        </is>
      </c>
      <c r="H362" s="444" t="inlineStr">
        <is>
          <t>campo</t>
        </is>
      </c>
    </row>
    <row r="363" ht="18.75" customHeight="1" s="225">
      <c r="A363" s="264">
        <f>B363&amp;"-"&amp;C363</f>
        <v/>
      </c>
      <c r="B363" s="442" t="inlineStr">
        <is>
          <t>XII - NOTARIOS: Poderes irrevocables</t>
        </is>
      </c>
      <c r="C363" s="443" t="n">
        <v>8</v>
      </c>
      <c r="D363" s="264" t="inlineStr">
        <is>
          <t>Giro o actividad declarada</t>
        </is>
      </c>
      <c r="E363" s="264" t="inlineStr">
        <is>
          <t>El giro que declara el poderdante es a su vez una Actividad Vulnerable del artículo 17, o no se acredita con documento alguno.</t>
        </is>
      </c>
      <c r="F363" s="264" t="inlineStr">
        <is>
          <t>El giro se declara y se acredita sólo de forma parcial.</t>
        </is>
      </c>
      <c r="G363" s="264" t="inlineStr">
        <is>
          <t>El giro se acredita con documento: constancia de situación fiscal, acta constitutiva o comprobante de empleo.</t>
        </is>
      </c>
      <c r="H363" s="444" t="inlineStr">
        <is>
          <t>campo</t>
        </is>
      </c>
    </row>
    <row r="364" ht="18.75" customHeight="1" s="225">
      <c r="A364" s="264">
        <f>B364&amp;"-"&amp;C364</f>
        <v/>
      </c>
      <c r="B364" s="442" t="inlineStr">
        <is>
          <t>XII - NOTARIOS: Poderes irrevocables</t>
        </is>
      </c>
      <c r="C364" s="443" t="n">
        <v>9</v>
      </c>
      <c r="D364" s="264" t="inlineStr">
        <is>
          <t>Nacionalidad</t>
        </is>
      </c>
      <c r="E364" s="264" t="inlineStr">
        <is>
          <t>Nacionalidad de país o jurisdicción señalada por la UIF, o no determinada.</t>
        </is>
      </c>
      <c r="F364" s="264" t="inlineStr">
        <is>
          <t>Nacionalidad extranjera de país sin señalamiento.</t>
        </is>
      </c>
      <c r="G364" s="264" t="inlineStr">
        <is>
          <t>Nacionalidad mexicana.</t>
        </is>
      </c>
      <c r="H364" s="444" t="inlineStr">
        <is>
          <t>campo</t>
        </is>
      </c>
    </row>
    <row r="365" ht="18.75" customHeight="1" s="225">
      <c r="A365" s="264">
        <f>B365&amp;"-"&amp;C365</f>
        <v/>
      </c>
      <c r="B365" s="442" t="inlineStr">
        <is>
          <t>XII - NOTARIOS: Poderes irrevocables</t>
        </is>
      </c>
      <c r="C365" s="443" t="n">
        <v>10</v>
      </c>
      <c r="D365" s="264" t="inlineStr">
        <is>
          <t>País y entidad de residencia</t>
        </is>
      </c>
      <c r="E365" s="264" t="inlineStr">
        <is>
          <t>Residencia en jurisdicción de régimen fiscal preferente o señalada por deficiencias, o domicilio no verificable.</t>
        </is>
      </c>
      <c r="F365" s="264" t="inlineStr">
        <is>
          <t>Residencia en el extranjero sin señalamiento, o en entidad federativa señalada en la ENR.</t>
        </is>
      </c>
      <c r="G365" s="264" t="inlineStr">
        <is>
          <t>Residencia en México, en entidad federativa sin señalamiento en la ENR.</t>
        </is>
      </c>
      <c r="H365" s="444" t="inlineStr">
        <is>
          <t>campo</t>
        </is>
      </c>
    </row>
    <row r="366" ht="18.75" customHeight="1" s="225">
      <c r="A366" s="264">
        <f>B366&amp;"-"&amp;C366</f>
        <v/>
      </c>
      <c r="B366" s="442" t="inlineStr">
        <is>
          <t>XII - NOTARIOS: Poderes irrevocables</t>
        </is>
      </c>
      <c r="C366" s="443" t="n">
        <v>11</v>
      </c>
      <c r="D366" s="264" t="inlineStr">
        <is>
          <t>Condición de Persona Políticamente Expuesta</t>
        </is>
      </c>
      <c r="E366" s="264" t="inlineStr">
        <is>
          <t>Persona Políticamente Expuesta extranjera, o nacional cuyo comportamiento transaccional no corresponde con sus ingresos y funciones.</t>
        </is>
      </c>
      <c r="F366" s="264" t="inlineStr">
        <is>
          <t>Persona Políticamente Expuesta nacional con comportamiento congruente, o familiar o allegado de una.</t>
        </is>
      </c>
      <c r="G366" s="264" t="inlineStr">
        <is>
          <t>Sin condición de Persona Políticamente Expuesta, con búsqueda documentada.</t>
        </is>
      </c>
      <c r="H366" s="444" t="inlineStr">
        <is>
          <t>campo</t>
        </is>
      </c>
    </row>
    <row r="367" ht="18.75" customHeight="1" s="225">
      <c r="A367" s="264">
        <f>B367&amp;"-"&amp;C367</f>
        <v/>
      </c>
      <c r="B367" s="442" t="inlineStr">
        <is>
          <t>XII - NOTARIOS: Poderes irrevocables</t>
        </is>
      </c>
      <c r="C367" s="443" t="n">
        <v>12</v>
      </c>
      <c r="D367" s="264" t="inlineStr">
        <is>
          <t>Resultado de la búsqueda en listas</t>
        </is>
      </c>
      <c r="E367" s="264" t="inlineStr">
        <is>
          <t>Coincidencia positiva en listas de personas bloqueadas o de sanciones, o búsqueda no realizada o sin constancia.</t>
        </is>
      </c>
      <c r="F367" s="264" t="inlineStr">
        <is>
          <t>Coincidencia descartada por homonimia acreditada, con constancia.</t>
        </is>
      </c>
      <c r="G367" s="264" t="inlineStr">
        <is>
          <t>Sin coincidencia, con constancia de la búsqueda y su fecha.</t>
        </is>
      </c>
      <c r="H367" s="444" t="inlineStr">
        <is>
          <t>campo</t>
        </is>
      </c>
    </row>
    <row r="368" ht="18.75" customHeight="1" s="225">
      <c r="A368" s="264">
        <f>B368&amp;"-"&amp;C368</f>
        <v/>
      </c>
      <c r="B368" s="442" t="inlineStr">
        <is>
          <t>XII - NOTARIOS: Poderes irrevocables</t>
        </is>
      </c>
      <c r="C368" s="443" t="n">
        <v>13</v>
      </c>
      <c r="D368" s="264" t="inlineStr">
        <is>
          <t>Profundidad de la cadena de control</t>
        </is>
      </c>
      <c r="E368" s="264" t="inlineStr">
        <is>
          <t>No se logra identificar al Beneficiario Controlador de el poderdante, o la cadena no es acreditable.</t>
        </is>
      </c>
      <c r="F368" s="264" t="inlineStr">
        <is>
          <t>El Beneficiario Controlador se identifica atravesando dos o más niveles societarios o fiduciarios.</t>
        </is>
      </c>
      <c r="G368" s="264" t="inlineStr">
        <is>
          <t>El Beneficiario Controlador se identifica en un solo nivel, o el poderdante es su propio beneficiario.</t>
        </is>
      </c>
      <c r="H368" s="444" t="inlineStr">
        <is>
          <t>calculado</t>
        </is>
      </c>
    </row>
    <row r="369" ht="18.75" customHeight="1" s="225">
      <c r="A369" s="264">
        <f>B369&amp;"-"&amp;C369</f>
        <v/>
      </c>
      <c r="B369" s="442" t="inlineStr">
        <is>
          <t>XII - NOTARIOS: Poderes irrevocables</t>
        </is>
      </c>
      <c r="C369" s="443" t="n">
        <v>14</v>
      </c>
      <c r="D369" s="264" t="inlineStr">
        <is>
          <t>País donde se realiza la operación</t>
        </is>
      </c>
      <c r="E369" s="264" t="inlineStr">
        <is>
          <t>El otorgamiento del poder se pacta con o desde una jurisdicción de alto riesgo o no cooperante.</t>
        </is>
      </c>
      <c r="F369" s="264" t="inlineStr">
        <is>
          <t>El otorgamiento del poder se pacta con una jurisdicción extranjera sin señalamiento.</t>
        </is>
      </c>
      <c r="G369" s="264" t="inlineStr">
        <is>
          <t>El otorgamiento del poder se realiza íntegramente en México.</t>
        </is>
      </c>
      <c r="H369" s="444" t="inlineStr">
        <is>
          <t>campo</t>
        </is>
      </c>
    </row>
    <row r="370" ht="18.75" customHeight="1" s="225">
      <c r="A370" s="264">
        <f>B370&amp;"-"&amp;C370</f>
        <v/>
      </c>
      <c r="B370" s="442" t="inlineStr">
        <is>
          <t>XII - NOTARIOS: Poderes irrevocables</t>
        </is>
      </c>
      <c r="C370" s="443" t="n">
        <v>15</v>
      </c>
      <c r="D370" s="264" t="inlineStr">
        <is>
          <t>Entidad o municipio de la operación</t>
        </is>
      </c>
      <c r="E370" s="264" t="inlineStr">
        <is>
          <t>El otorgamiento del poder ocurre en un municipio o zona identificada de alto riesgo.</t>
        </is>
      </c>
      <c r="F370" s="264" t="inlineStr">
        <is>
          <t>El otorgamiento del poder ocurre en una entidad federativa con señalamiento en la ENR.</t>
        </is>
      </c>
      <c r="G370" s="264" t="inlineStr">
        <is>
          <t>El otorgamiento del poder ocurre en una entidad federativa sin señalamiento en la ENR.</t>
        </is>
      </c>
      <c r="H370" s="444" t="inlineStr">
        <is>
          <t>campo</t>
        </is>
      </c>
    </row>
    <row r="371" ht="18.75" customHeight="1" s="225">
      <c r="A371" s="264">
        <f>B371&amp;"-"&amp;C371</f>
        <v/>
      </c>
      <c r="B371" s="442" t="inlineStr">
        <is>
          <t>XII - NOTARIOS: Poderes irrevocables</t>
        </is>
      </c>
      <c r="C371" s="443" t="n">
        <v>16</v>
      </c>
      <c r="D371" s="264" t="inlineStr">
        <is>
          <t>Vínculo con jurisdicción sancionada o de acción requerida</t>
        </is>
      </c>
      <c r="E371" s="264" t="inlineStr">
        <is>
          <t>Hay exposición directa a una jurisdicción sancionada, en conflicto armado o de acción requerida del GAFI.</t>
        </is>
      </c>
      <c r="F371" s="264" t="inlineStr">
        <is>
          <t>La exposición es indirecta: una contraparte o la ruta de los fondos toca esa jurisdicción.</t>
        </is>
      </c>
      <c r="G371" s="264" t="inlineStr">
        <is>
          <t>Sin exposición a jurisdicciones sancionadas, en conflicto ni de acción requerida.</t>
        </is>
      </c>
      <c r="H371" s="444" t="inlineStr">
        <is>
          <t>campo</t>
        </is>
      </c>
    </row>
    <row r="372" ht="18.75" customHeight="1" s="225">
      <c r="A372" s="264">
        <f>B372&amp;"-"&amp;C372</f>
        <v/>
      </c>
      <c r="B372" s="442" t="inlineStr">
        <is>
          <t>XII - NOTARIOS: Poderes irrevocables</t>
        </is>
      </c>
      <c r="C372" s="443" t="n">
        <v>17</v>
      </c>
      <c r="D372" s="264" t="inlineStr">
        <is>
          <t>Coincidencia entre domicilio y lugar de la operación</t>
        </is>
      </c>
      <c r="E372" s="264" t="inlineStr">
        <is>
          <t>El domicilio de el poderdante y el lugar de el otorgamiento del poder no coinciden, y no hay explicación documentada.</t>
        </is>
      </c>
      <c r="F372" s="264" t="inlineStr">
        <is>
          <t>No coinciden, pero consta por escrito la razón de operar en ese lugar.</t>
        </is>
      </c>
      <c r="G372" s="264" t="inlineStr">
        <is>
          <t>El domicilio de el poderdante y el lugar de el otorgamiento del poder coinciden.</t>
        </is>
      </c>
      <c r="H372" s="444" t="inlineStr">
        <is>
          <t>calculado</t>
        </is>
      </c>
    </row>
    <row r="373" ht="18.75" customHeight="1" s="225">
      <c r="A373" s="264">
        <f>B373&amp;"-"&amp;C373</f>
        <v/>
      </c>
      <c r="B373" s="442" t="inlineStr">
        <is>
          <t>XII - NOTARIOS: Poderes irrevocables</t>
        </is>
      </c>
      <c r="C373" s="443" t="n">
        <v>18</v>
      </c>
      <c r="D373" s="264" t="inlineStr">
        <is>
          <t>Instrumento con que se paga</t>
        </is>
      </c>
      <c r="E373" s="264" t="inlineStr">
        <is>
          <t>Efectivo por encima de tu umbral interno, instrumento al portador, o pago en especie.</t>
        </is>
      </c>
      <c r="F373" s="264" t="inlineStr">
        <is>
          <t>Pago mixto, con un componente en efectivo por debajo de tu umbral interno.</t>
        </is>
      </c>
      <c r="G373" s="264" t="inlineStr">
        <is>
          <t>Transferencia electrónica o cheque nominativo desde una cuenta a nombre de el poderdante.</t>
        </is>
      </c>
      <c r="H373" s="444" t="inlineStr">
        <is>
          <t>campo</t>
        </is>
      </c>
    </row>
    <row r="374" ht="18.75" customHeight="1" s="225">
      <c r="A374" s="264">
        <f>B374&amp;"-"&amp;C374</f>
        <v/>
      </c>
      <c r="B374" s="442" t="inlineStr">
        <is>
          <t>XII - NOTARIOS: Poderes irrevocables</t>
        </is>
      </c>
      <c r="C374" s="443" t="n">
        <v>19</v>
      </c>
      <c r="D374" s="264" t="inlineStr">
        <is>
          <t>Moneda de la operación</t>
        </is>
      </c>
      <c r="E374" s="264" t="inlineStr">
        <is>
          <t>Divisa distinta del dólar estadounidense y del euro, o activo virtual.</t>
        </is>
      </c>
      <c r="F374" s="264" t="inlineStr">
        <is>
          <t>Dólar estadounidense o euro, con soporte documental.</t>
        </is>
      </c>
      <c r="G374" s="264" t="inlineStr">
        <is>
          <t>Peso mexicano.</t>
        </is>
      </c>
      <c r="H374" s="444" t="inlineStr">
        <is>
          <t>campo</t>
        </is>
      </c>
    </row>
    <row r="375" ht="18.75" customHeight="1" s="225">
      <c r="A375" s="264">
        <f>B375&amp;"-"&amp;C375</f>
        <v/>
      </c>
      <c r="B375" s="442" t="inlineStr">
        <is>
          <t>XII - NOTARIOS: Poderes irrevocables</t>
        </is>
      </c>
      <c r="C375" s="443" t="n">
        <v>20</v>
      </c>
      <c r="D375" s="264" t="inlineStr">
        <is>
          <t>Monto frente al umbral de tu fracción</t>
        </is>
      </c>
      <c r="E375" s="264" t="inlineStr">
        <is>
          <t>El otorgamiento del poder iguala o supera el umbral de Aviso de tu fracción del artículo 17.</t>
        </is>
      </c>
      <c r="F375" s="264" t="inlineStr">
        <is>
          <t>El otorgamiento del poder se sitúa entre el umbral de identificación y el de Aviso.</t>
        </is>
      </c>
      <c r="G375" s="264" t="inlineStr">
        <is>
          <t>El otorgamiento del poder queda por debajo del umbral de identificación.</t>
        </is>
      </c>
      <c r="H375" s="444" t="inlineStr">
        <is>
          <t>calculado</t>
        </is>
      </c>
    </row>
    <row r="376" ht="18.75" customHeight="1" s="225">
      <c r="A376" s="264">
        <f>B376&amp;"-"&amp;C376</f>
        <v/>
      </c>
      <c r="B376" s="442" t="inlineStr">
        <is>
          <t>XII - NOTARIOS: Poderes irrevocables</t>
        </is>
      </c>
      <c r="C376" s="443" t="n">
        <v>21</v>
      </c>
      <c r="D376" s="264" t="inlineStr">
        <is>
          <t>Número y ritmo de operaciones en el periodo</t>
        </is>
      </c>
      <c r="E376" s="264" t="inlineStr">
        <is>
          <t>El poderdante realiza cinco o más operaciones al año, o varias en intervalos cortos y regulares.</t>
        </is>
      </c>
      <c r="F376" s="264" t="inlineStr">
        <is>
          <t>El poderdante realiza entre dos y cuatro operaciones al año.</t>
        </is>
      </c>
      <c r="G376" s="264" t="inlineStr">
        <is>
          <t>El poderdante realiza una sola operación en el periodo.</t>
        </is>
      </c>
      <c r="H376" s="444" t="inlineStr">
        <is>
          <t>calculado</t>
        </is>
      </c>
    </row>
    <row r="377" ht="18.75" customHeight="1" s="225">
      <c r="A377" s="264">
        <f>B377&amp;"-"&amp;C377</f>
        <v/>
      </c>
      <c r="B377" s="442" t="inlineStr">
        <is>
          <t>XII - NOTARIOS: Poderes irrevocables</t>
        </is>
      </c>
      <c r="C377" s="443" t="n">
        <v>22</v>
      </c>
      <c r="D377" s="264" t="inlineStr">
        <is>
          <t>Canal: certeza de identificación del Cliente</t>
        </is>
      </c>
      <c r="E377" s="264" t="inlineStr">
        <is>
          <t>La operación llega por un gestor, plataforma o intermediario no acreditado: nadie responde por la identificación de el poderdante, y quien opera puede no ser quien dice ser.</t>
        </is>
      </c>
      <c r="F377" s="264" t="inlineStr">
        <is>
          <t>Se identifica a el poderdante de forma remota con verificación documental, o a través de un promotor o representante propio con contrato y responsable señalado.</t>
        </is>
      </c>
      <c r="G377" s="264" t="inlineStr">
        <is>
          <t>El poderdante comparece de forma directa, o se le identifica en remoto con biometría y prueba de vida.</t>
        </is>
      </c>
      <c r="H377" s="444" t="inlineStr">
        <is>
          <t>campo</t>
        </is>
      </c>
    </row>
    <row r="378" ht="18.75" customHeight="1" s="225">
      <c r="A378" s="264">
        <f>B378&amp;"-"&amp;C378</f>
        <v/>
      </c>
      <c r="B378" s="442" t="inlineStr">
        <is>
          <t>XII - NOTARIOS: Poderes irrevocables</t>
        </is>
      </c>
      <c r="C378" s="443" t="n">
        <v>23</v>
      </c>
      <c r="D378" s="264" t="inlineStr">
        <is>
          <t>Acreditación del origen de los recursos</t>
        </is>
      </c>
      <c r="E378" s="264" t="inlineStr">
        <is>
          <t>El origen de los recursos se declara sin soporte documental, o no se manifiesta.</t>
        </is>
      </c>
      <c r="F378" s="264" t="inlineStr">
        <is>
          <t>El origen se declara y se acredita sólo de forma parcial.</t>
        </is>
      </c>
      <c r="G378" s="264" t="inlineStr">
        <is>
          <t>El origen se acredita con documentación verificable.</t>
        </is>
      </c>
      <c r="H378" s="444" t="inlineStr">
        <is>
          <t>bandera</t>
        </is>
      </c>
    </row>
    <row r="379" ht="18.75" customHeight="1" s="225">
      <c r="A379" s="264">
        <f>B379&amp;"-"&amp;C379</f>
        <v/>
      </c>
      <c r="B379" s="442" t="inlineStr">
        <is>
          <t>XII - NOTARIOS: Poderes irrevocables</t>
        </is>
      </c>
      <c r="C379" s="443" t="n">
        <v>24</v>
      </c>
      <c r="D379" s="264" t="inlineStr">
        <is>
          <t>Acreditación del destino de los recursos o del bien</t>
        </is>
      </c>
      <c r="E379" s="264" t="inlineStr">
        <is>
          <t>El destino no se manifiesta, o los recursos o el poder otorgado pasan a un tercero no relacionado con el poderdante.</t>
        </is>
      </c>
      <c r="F379" s="264" t="inlineStr">
        <is>
          <t>El destino se declara y es verificable.</t>
        </is>
      </c>
      <c r="G379" s="264" t="inlineStr">
        <is>
          <t>El destino es el poder otorgado mismo, y queda registrado en la operación.</t>
        </is>
      </c>
      <c r="H379" s="444" t="inlineStr">
        <is>
          <t>bandera</t>
        </is>
      </c>
    </row>
    <row r="380" ht="18.75" customHeight="1" s="225">
      <c r="A380" s="264">
        <f>B380&amp;"-"&amp;C380</f>
        <v/>
      </c>
      <c r="B380" s="442" t="inlineStr">
        <is>
          <t>XII - NOTARIOS: Poderes irrevocables</t>
        </is>
      </c>
      <c r="C380" s="443" t="n">
        <v>25</v>
      </c>
      <c r="D380" s="264" t="inlineStr">
        <is>
          <t>Combinación de canal e instrumento idónea para el financiamiento al terrorismo</t>
        </is>
      </c>
      <c r="E380" s="264" t="inlineStr">
        <is>
          <t>El otorgamiento del poder combina contratación a distancia sin verificación reforzada con pagos en efectivo o instrumentos al portador.</t>
        </is>
      </c>
      <c r="F380" s="264" t="inlineStr">
        <is>
          <t>Concurre uno solo de los dos: o la contratación remota sin verificación reforzada, o el pago en instrumento no bancarizado.</t>
        </is>
      </c>
      <c r="G380" s="264" t="inlineStr">
        <is>
          <t>Ni la forma de contratar ni la de pagar permiten mover valor de forma anónima.</t>
        </is>
      </c>
      <c r="H380" s="444" t="inlineStr">
        <is>
          <t>bandera</t>
        </is>
      </c>
    </row>
    <row r="381" ht="18.75" customHeight="1" s="225">
      <c r="A381" s="264">
        <f>B381&amp;"-"&amp;C381</f>
        <v/>
      </c>
      <c r="B381" s="442" t="inlineStr">
        <is>
          <t>XII - NOTARIOS: Const. o modif. patrimonial</t>
        </is>
      </c>
      <c r="C381" s="443" t="n">
        <v>1</v>
      </c>
      <c r="D381" s="264" t="inlineStr">
        <is>
          <t>Valor unitario de la operación</t>
        </is>
      </c>
      <c r="E381" s="264" t="inlineStr">
        <is>
          <t>El capital social tiene un valor unitario muy por encima del ticket promedio de tu operación de doce meses.</t>
        </is>
      </c>
      <c r="F381" s="264" t="inlineStr">
        <is>
          <t>El capital social tiene un valor unitario dentro del rango habitual de tu operación.</t>
        </is>
      </c>
      <c r="G381" s="264" t="inlineStr">
        <is>
          <t>El capital social tiene un valor unitario por debajo de tu ticket promedio.</t>
        </is>
      </c>
      <c r="H381" s="444" t="inlineStr">
        <is>
          <t>calculado</t>
        </is>
      </c>
    </row>
    <row r="382" ht="18.75" customHeight="1" s="225">
      <c r="A382" s="264">
        <f>B382&amp;"-"&amp;C382</f>
        <v/>
      </c>
      <c r="B382" s="442" t="inlineStr">
        <is>
          <t>XII - NOTARIOS: Const. o modif. patrimonial</t>
        </is>
      </c>
      <c r="C382" s="443" t="n">
        <v>2</v>
      </c>
      <c r="D382" s="264" t="inlineStr">
        <is>
          <t>Liquidez: facilidad de convertir en dinero</t>
        </is>
      </c>
      <c r="E382" s="264" t="inlineStr">
        <is>
          <t>El capital social puede revenderse o cederse de inmediato y prácticamente a su valor íntegro.</t>
        </is>
      </c>
      <c r="F382" s="264" t="inlineStr">
        <is>
          <t>El capital social puede revenderse, pero con trámite, plazo o pérdida de valor apreciable.</t>
        </is>
      </c>
      <c r="G382" s="264" t="inlineStr">
        <is>
          <t>El capital social es difícil de revender: exige formalidades o registro, o pierde valor de forma significativa.</t>
        </is>
      </c>
      <c r="H382" s="444" t="inlineStr">
        <is>
          <t>bandera</t>
        </is>
      </c>
    </row>
    <row r="383" ht="18.75" customHeight="1" s="225">
      <c r="A383" s="264">
        <f>B383&amp;"-"&amp;C383</f>
        <v/>
      </c>
      <c r="B383" s="442" t="inlineStr">
        <is>
          <t>XII - NOTARIOS: Const. o modif. patrimonial</t>
        </is>
      </c>
      <c r="C383" s="443" t="n">
        <v>3</v>
      </c>
      <c r="D383" s="264" t="inlineStr">
        <is>
          <t>Anonimato: si el beneficiario queda a la vista</t>
        </is>
      </c>
      <c r="E383" s="264" t="inlineStr">
        <is>
          <t>La constitución o modificación patrimonial admite que quien aparece no sea quien recibe el beneficio, sin que quede registro de quién es el beneficiario final.</t>
        </is>
      </c>
      <c r="F383" s="264" t="inlineStr">
        <is>
          <t>Se identifica a el socio o accionista, pero el beneficiario final se declara sin documento que lo respalde.</t>
        </is>
      </c>
      <c r="G383" s="264" t="inlineStr">
        <is>
          <t>El socio o accionista y el beneficiario final coinciden, y ambos constan en el expediente.</t>
        </is>
      </c>
      <c r="H383" s="444" t="inlineStr">
        <is>
          <t>bandera</t>
        </is>
      </c>
    </row>
    <row r="384" ht="18.75" customHeight="1" s="225">
      <c r="A384" s="264">
        <f>B384&amp;"-"&amp;C384</f>
        <v/>
      </c>
      <c r="B384" s="442" t="inlineStr">
        <is>
          <t>XII - NOTARIOS: Const. o modif. patrimonial</t>
        </is>
      </c>
      <c r="C384" s="443" t="n">
        <v>4</v>
      </c>
      <c r="D384" s="264" t="inlineStr">
        <is>
          <t>Ocultamiento de valor en el precio</t>
        </is>
      </c>
      <c r="E384" s="264" t="inlineStr">
        <is>
          <t>La constitución o modificación patrimonial admite sobrevaluar, subvaluar o fraccionar el precio sin que la contabilidad lo refleje.</t>
        </is>
      </c>
      <c r="F384" s="264" t="inlineStr">
        <is>
          <t>El precio se aparta del valor de referencia, pero existe explicación documentada de la diferencia.</t>
        </is>
      </c>
      <c r="G384" s="264" t="inlineStr">
        <is>
          <t>El precio corresponde al valor de referencia y queda registrado en la contabilidad.</t>
        </is>
      </c>
      <c r="H384" s="444" t="inlineStr">
        <is>
          <t>bandera</t>
        </is>
      </c>
    </row>
    <row r="385" ht="18.75" customHeight="1" s="225">
      <c r="A385" s="264">
        <f>B385&amp;"-"&amp;C385</f>
        <v/>
      </c>
      <c r="B385" s="442" t="inlineStr">
        <is>
          <t>XII - NOTARIOS: Const. o modif. patrimonial</t>
        </is>
      </c>
      <c r="C385" s="443" t="n">
        <v>5</v>
      </c>
      <c r="D385" s="264" t="inlineStr">
        <is>
          <t>Exposición a personas señaladas por terrorismo</t>
        </is>
      </c>
      <c r="E385" s="264" t="inlineStr">
        <is>
          <t>El socio o accionista, su beneficiario o su contraparte aparece en listas de sanciones o de organizaciones terroristas.</t>
        </is>
      </c>
      <c r="F385" s="264" t="inlineStr">
        <is>
          <t>Existe un vínculo indirecto —contraparte, domicilio o ruta de los fondos— con una jurisdicción en conflicto o de acción requerida.</t>
        </is>
      </c>
      <c r="G385" s="264" t="inlineStr">
        <is>
          <t>Sin coincidencias ni vínculos con esas listas ni con jurisdicciones en conflicto, con búsqueda documentada.</t>
        </is>
      </c>
      <c r="H385" s="444" t="inlineStr">
        <is>
          <t>campo</t>
        </is>
      </c>
    </row>
    <row r="386" ht="18.75" customHeight="1" s="225">
      <c r="A386" s="264">
        <f>B386&amp;"-"&amp;C386</f>
        <v/>
      </c>
      <c r="B386" s="442" t="inlineStr">
        <is>
          <t>XII - NOTARIOS: Const. o modif. patrimonial</t>
        </is>
      </c>
      <c r="C386" s="443" t="n">
        <v>6</v>
      </c>
      <c r="D386" s="264" t="inlineStr">
        <is>
          <t>Tipo de persona</t>
        </is>
      </c>
      <c r="E386" s="264" t="inlineStr">
        <is>
          <t>El socio o accionista es un fideicomiso u otro vehículo sin personalidad jurídica propia. No hay un titular único: la figura permite que quien aporta el capital y quien controla la sociedad sean personas distintas y que ninguna aparezca en el contrato.</t>
        </is>
      </c>
      <c r="F386" s="264" t="inlineStr">
        <is>
          <t>El socio o accionista es persona moral. La voluntad se forma en órganos y la propiedad está en socios, así que hay que llegar al Beneficiario Controlador para saber quién está realmente detrás.</t>
        </is>
      </c>
      <c r="G386" s="264" t="inlineStr">
        <is>
          <t>El socio o accionista es persona física. Coincide quien aporta el capital y quien controla la sociedad, y la identificación es directa contra un solo expediente.</t>
        </is>
      </c>
      <c r="H386" s="444" t="inlineStr">
        <is>
          <t>campo</t>
        </is>
      </c>
    </row>
    <row r="387" ht="18.75" customHeight="1" s="225">
      <c r="A387" s="264">
        <f>B387&amp;"-"&amp;C387</f>
        <v/>
      </c>
      <c r="B387" s="442" t="inlineStr">
        <is>
          <t>XII - NOTARIOS: Const. o modif. patrimonial</t>
        </is>
      </c>
      <c r="C387" s="443" t="n">
        <v>7</v>
      </c>
      <c r="D387" s="264" t="inlineStr">
        <is>
          <t>Antigüedad del Cliente</t>
        </is>
      </c>
      <c r="E387" s="264" t="inlineStr">
        <is>
          <t>Persona moral constituida hace menos de dos años, o persona física menor de veintitrés años.</t>
        </is>
      </c>
      <c r="F387" s="264" t="inlineStr">
        <is>
          <t>Persona moral constituida hace entre dos y cinco años.</t>
        </is>
      </c>
      <c r="G387" s="264" t="inlineStr">
        <is>
          <t>Persona moral con más de cinco años de constituida, o persona física de veintitrés años en adelante.</t>
        </is>
      </c>
      <c r="H387" s="444" t="inlineStr">
        <is>
          <t>campo</t>
        </is>
      </c>
    </row>
    <row r="388" ht="18.75" customHeight="1" s="225">
      <c r="A388" s="264">
        <f>B388&amp;"-"&amp;C388</f>
        <v/>
      </c>
      <c r="B388" s="442" t="inlineStr">
        <is>
          <t>XII - NOTARIOS: Const. o modif. patrimonial</t>
        </is>
      </c>
      <c r="C388" s="443" t="n">
        <v>8</v>
      </c>
      <c r="D388" s="264" t="inlineStr">
        <is>
          <t>Giro o actividad declarada</t>
        </is>
      </c>
      <c r="E388" s="264" t="inlineStr">
        <is>
          <t>El giro que declara el socio o accionista es a su vez una Actividad Vulnerable del artículo 17, o no se acredita con documento alguno.</t>
        </is>
      </c>
      <c r="F388" s="264" t="inlineStr">
        <is>
          <t>El giro se declara y se acredita sólo de forma parcial.</t>
        </is>
      </c>
      <c r="G388" s="264" t="inlineStr">
        <is>
          <t>El giro se acredita con documento: constancia de situación fiscal, acta constitutiva o comprobante de empleo.</t>
        </is>
      </c>
      <c r="H388" s="444" t="inlineStr">
        <is>
          <t>campo</t>
        </is>
      </c>
    </row>
    <row r="389" ht="18.75" customHeight="1" s="225">
      <c r="A389" s="264">
        <f>B389&amp;"-"&amp;C389</f>
        <v/>
      </c>
      <c r="B389" s="442" t="inlineStr">
        <is>
          <t>XII - NOTARIOS: Const. o modif. patrimonial</t>
        </is>
      </c>
      <c r="C389" s="443" t="n">
        <v>9</v>
      </c>
      <c r="D389" s="264" t="inlineStr">
        <is>
          <t>Nacionalidad</t>
        </is>
      </c>
      <c r="E389" s="264" t="inlineStr">
        <is>
          <t>Nacionalidad de país o jurisdicción señalada por la UIF, o no determinada.</t>
        </is>
      </c>
      <c r="F389" s="264" t="inlineStr">
        <is>
          <t>Nacionalidad extranjera de país sin señalamiento.</t>
        </is>
      </c>
      <c r="G389" s="264" t="inlineStr">
        <is>
          <t>Nacionalidad mexicana.</t>
        </is>
      </c>
      <c r="H389" s="444" t="inlineStr">
        <is>
          <t>campo</t>
        </is>
      </c>
    </row>
    <row r="390" ht="18.75" customHeight="1" s="225">
      <c r="A390" s="264">
        <f>B390&amp;"-"&amp;C390</f>
        <v/>
      </c>
      <c r="B390" s="442" t="inlineStr">
        <is>
          <t>XII - NOTARIOS: Const. o modif. patrimonial</t>
        </is>
      </c>
      <c r="C390" s="443" t="n">
        <v>10</v>
      </c>
      <c r="D390" s="264" t="inlineStr">
        <is>
          <t>País y entidad de residencia</t>
        </is>
      </c>
      <c r="E390" s="264" t="inlineStr">
        <is>
          <t>Residencia en jurisdicción de régimen fiscal preferente o señalada por deficiencias, o domicilio no verificable.</t>
        </is>
      </c>
      <c r="F390" s="264" t="inlineStr">
        <is>
          <t>Residencia en el extranjero sin señalamiento, o en entidad federativa señalada en la ENR.</t>
        </is>
      </c>
      <c r="G390" s="264" t="inlineStr">
        <is>
          <t>Residencia en México, en entidad federativa sin señalamiento en la ENR.</t>
        </is>
      </c>
      <c r="H390" s="444" t="inlineStr">
        <is>
          <t>campo</t>
        </is>
      </c>
    </row>
    <row r="391" ht="18.75" customHeight="1" s="225">
      <c r="A391" s="264">
        <f>B391&amp;"-"&amp;C391</f>
        <v/>
      </c>
      <c r="B391" s="442" t="inlineStr">
        <is>
          <t>XII - NOTARIOS: Const. o modif. patrimonial</t>
        </is>
      </c>
      <c r="C391" s="443" t="n">
        <v>11</v>
      </c>
      <c r="D391" s="264" t="inlineStr">
        <is>
          <t>Condición de Persona Políticamente Expuesta</t>
        </is>
      </c>
      <c r="E391" s="264" t="inlineStr">
        <is>
          <t>Persona Políticamente Expuesta extranjera, o nacional cuyo comportamiento transaccional no corresponde con sus ingresos y funciones.</t>
        </is>
      </c>
      <c r="F391" s="264" t="inlineStr">
        <is>
          <t>Persona Políticamente Expuesta nacional con comportamiento congruente, o familiar o allegado de una.</t>
        </is>
      </c>
      <c r="G391" s="264" t="inlineStr">
        <is>
          <t>Sin condición de Persona Políticamente Expuesta, con búsqueda documentada.</t>
        </is>
      </c>
      <c r="H391" s="444" t="inlineStr">
        <is>
          <t>campo</t>
        </is>
      </c>
    </row>
    <row r="392" ht="18.75" customHeight="1" s="225">
      <c r="A392" s="264">
        <f>B392&amp;"-"&amp;C392</f>
        <v/>
      </c>
      <c r="B392" s="442" t="inlineStr">
        <is>
          <t>XII - NOTARIOS: Const. o modif. patrimonial</t>
        </is>
      </c>
      <c r="C392" s="443" t="n">
        <v>12</v>
      </c>
      <c r="D392" s="264" t="inlineStr">
        <is>
          <t>Resultado de la búsqueda en listas</t>
        </is>
      </c>
      <c r="E392" s="264" t="inlineStr">
        <is>
          <t>Coincidencia positiva en listas de personas bloqueadas o de sanciones, o búsqueda no realizada o sin constancia.</t>
        </is>
      </c>
      <c r="F392" s="264" t="inlineStr">
        <is>
          <t>Coincidencia descartada por homonimia acreditada, con constancia.</t>
        </is>
      </c>
      <c r="G392" s="264" t="inlineStr">
        <is>
          <t>Sin coincidencia, con constancia de la búsqueda y su fecha.</t>
        </is>
      </c>
      <c r="H392" s="444" t="inlineStr">
        <is>
          <t>campo</t>
        </is>
      </c>
    </row>
    <row r="393" ht="18.75" customHeight="1" s="225">
      <c r="A393" s="264">
        <f>B393&amp;"-"&amp;C393</f>
        <v/>
      </c>
      <c r="B393" s="442" t="inlineStr">
        <is>
          <t>XII - NOTARIOS: Const. o modif. patrimonial</t>
        </is>
      </c>
      <c r="C393" s="443" t="n">
        <v>13</v>
      </c>
      <c r="D393" s="264" t="inlineStr">
        <is>
          <t>Profundidad de la cadena de control</t>
        </is>
      </c>
      <c r="E393" s="264" t="inlineStr">
        <is>
          <t>No se logra identificar al Beneficiario Controlador de el socio o accionista, o la cadena no es acreditable.</t>
        </is>
      </c>
      <c r="F393" s="264" t="inlineStr">
        <is>
          <t>El Beneficiario Controlador se identifica atravesando dos o más niveles societarios o fiduciarios.</t>
        </is>
      </c>
      <c r="G393" s="264" t="inlineStr">
        <is>
          <t>El Beneficiario Controlador se identifica en un solo nivel, o el socio o accionista es su propio beneficiario.</t>
        </is>
      </c>
      <c r="H393" s="444" t="inlineStr">
        <is>
          <t>calculado</t>
        </is>
      </c>
    </row>
    <row r="394" ht="18.75" customHeight="1" s="225">
      <c r="A394" s="264">
        <f>B394&amp;"-"&amp;C394</f>
        <v/>
      </c>
      <c r="B394" s="442" t="inlineStr">
        <is>
          <t>XII - NOTARIOS: Const. o modif. patrimonial</t>
        </is>
      </c>
      <c r="C394" s="443" t="n">
        <v>14</v>
      </c>
      <c r="D394" s="264" t="inlineStr">
        <is>
          <t>País donde se realiza la operación</t>
        </is>
      </c>
      <c r="E394" s="264" t="inlineStr">
        <is>
          <t>La constitución o modificación patrimonial se pacta con o desde una jurisdicción de alto riesgo o no cooperante.</t>
        </is>
      </c>
      <c r="F394" s="264" t="inlineStr">
        <is>
          <t>La constitución o modificación patrimonial se pacta con una jurisdicción extranjera sin señalamiento.</t>
        </is>
      </c>
      <c r="G394" s="264" t="inlineStr">
        <is>
          <t>La constitución o modificación patrimonial se realiza íntegramente en México.</t>
        </is>
      </c>
      <c r="H394" s="444" t="inlineStr">
        <is>
          <t>campo</t>
        </is>
      </c>
    </row>
    <row r="395" ht="18.75" customHeight="1" s="225">
      <c r="A395" s="264">
        <f>B395&amp;"-"&amp;C395</f>
        <v/>
      </c>
      <c r="B395" s="442" t="inlineStr">
        <is>
          <t>XII - NOTARIOS: Const. o modif. patrimonial</t>
        </is>
      </c>
      <c r="C395" s="443" t="n">
        <v>15</v>
      </c>
      <c r="D395" s="264" t="inlineStr">
        <is>
          <t>Entidad o municipio de la operación</t>
        </is>
      </c>
      <c r="E395" s="264" t="inlineStr">
        <is>
          <t>La constitución o modificación patrimonial ocurre en un municipio o zona identificada de alto riesgo.</t>
        </is>
      </c>
      <c r="F395" s="264" t="inlineStr">
        <is>
          <t>La constitución o modificación patrimonial ocurre en una entidad federativa con señalamiento en la ENR.</t>
        </is>
      </c>
      <c r="G395" s="264" t="inlineStr">
        <is>
          <t>La constitución o modificación patrimonial ocurre en una entidad federativa sin señalamiento en la ENR.</t>
        </is>
      </c>
      <c r="H395" s="444" t="inlineStr">
        <is>
          <t>campo</t>
        </is>
      </c>
    </row>
    <row r="396" ht="18.75" customHeight="1" s="225">
      <c r="A396" s="264">
        <f>B396&amp;"-"&amp;C396</f>
        <v/>
      </c>
      <c r="B396" s="442" t="inlineStr">
        <is>
          <t>XII - NOTARIOS: Const. o modif. patrimonial</t>
        </is>
      </c>
      <c r="C396" s="443" t="n">
        <v>16</v>
      </c>
      <c r="D396" s="264" t="inlineStr">
        <is>
          <t>Vínculo con jurisdicción sancionada o de acción requerida</t>
        </is>
      </c>
      <c r="E396" s="264" t="inlineStr">
        <is>
          <t>Hay exposición directa a una jurisdicción sancionada, en conflicto armado o de acción requerida del GAFI.</t>
        </is>
      </c>
      <c r="F396" s="264" t="inlineStr">
        <is>
          <t>La exposición es indirecta: una contraparte o la ruta de los fondos toca esa jurisdicción.</t>
        </is>
      </c>
      <c r="G396" s="264" t="inlineStr">
        <is>
          <t>Sin exposición a jurisdicciones sancionadas, en conflicto ni de acción requerida.</t>
        </is>
      </c>
      <c r="H396" s="444" t="inlineStr">
        <is>
          <t>campo</t>
        </is>
      </c>
    </row>
    <row r="397" ht="18.75" customHeight="1" s="225">
      <c r="A397" s="264">
        <f>B397&amp;"-"&amp;C397</f>
        <v/>
      </c>
      <c r="B397" s="442" t="inlineStr">
        <is>
          <t>XII - NOTARIOS: Const. o modif. patrimonial</t>
        </is>
      </c>
      <c r="C397" s="443" t="n">
        <v>17</v>
      </c>
      <c r="D397" s="264" t="inlineStr">
        <is>
          <t>Coincidencia entre domicilio y lugar de la operación</t>
        </is>
      </c>
      <c r="E397" s="264" t="inlineStr">
        <is>
          <t>El domicilio de el socio o accionista y el lugar de la constitución o modificación patrimonial no coinciden, y no hay explicación documentada.</t>
        </is>
      </c>
      <c r="F397" s="264" t="inlineStr">
        <is>
          <t>No coinciden, pero consta por escrito la razón de operar en ese lugar.</t>
        </is>
      </c>
      <c r="G397" s="264" t="inlineStr">
        <is>
          <t>El domicilio de el socio o accionista y el lugar de la constitución o modificación patrimonial coinciden.</t>
        </is>
      </c>
      <c r="H397" s="444" t="inlineStr">
        <is>
          <t>calculado</t>
        </is>
      </c>
    </row>
    <row r="398" ht="18.75" customHeight="1" s="225">
      <c r="A398" s="264">
        <f>B398&amp;"-"&amp;C398</f>
        <v/>
      </c>
      <c r="B398" s="442" t="inlineStr">
        <is>
          <t>XII - NOTARIOS: Const. o modif. patrimonial</t>
        </is>
      </c>
      <c r="C398" s="443" t="n">
        <v>18</v>
      </c>
      <c r="D398" s="264" t="inlineStr">
        <is>
          <t>Instrumento con que se paga</t>
        </is>
      </c>
      <c r="E398" s="264" t="inlineStr">
        <is>
          <t>Efectivo por encima de tu umbral interno, instrumento al portador, o pago en especie.</t>
        </is>
      </c>
      <c r="F398" s="264" t="inlineStr">
        <is>
          <t>Pago mixto, con un componente en efectivo por debajo de tu umbral interno.</t>
        </is>
      </c>
      <c r="G398" s="264" t="inlineStr">
        <is>
          <t>Transferencia electrónica o cheque nominativo desde una cuenta a nombre de el socio o accionista.</t>
        </is>
      </c>
      <c r="H398" s="444" t="inlineStr">
        <is>
          <t>campo</t>
        </is>
      </c>
    </row>
    <row r="399" ht="18.75" customHeight="1" s="225">
      <c r="A399" s="264">
        <f>B399&amp;"-"&amp;C399</f>
        <v/>
      </c>
      <c r="B399" s="442" t="inlineStr">
        <is>
          <t>XII - NOTARIOS: Const. o modif. patrimonial</t>
        </is>
      </c>
      <c r="C399" s="443" t="n">
        <v>19</v>
      </c>
      <c r="D399" s="264" t="inlineStr">
        <is>
          <t>Moneda de la operación</t>
        </is>
      </c>
      <c r="E399" s="264" t="inlineStr">
        <is>
          <t>Divisa distinta del dólar estadounidense y del euro, o activo virtual.</t>
        </is>
      </c>
      <c r="F399" s="264" t="inlineStr">
        <is>
          <t>Dólar estadounidense o euro, con soporte documental.</t>
        </is>
      </c>
      <c r="G399" s="264" t="inlineStr">
        <is>
          <t>Peso mexicano.</t>
        </is>
      </c>
      <c r="H399" s="444" t="inlineStr">
        <is>
          <t>campo</t>
        </is>
      </c>
    </row>
    <row r="400" ht="18.75" customHeight="1" s="225">
      <c r="A400" s="264">
        <f>B400&amp;"-"&amp;C400</f>
        <v/>
      </c>
      <c r="B400" s="442" t="inlineStr">
        <is>
          <t>XII - NOTARIOS: Const. o modif. patrimonial</t>
        </is>
      </c>
      <c r="C400" s="443" t="n">
        <v>20</v>
      </c>
      <c r="D400" s="264" t="inlineStr">
        <is>
          <t>Monto frente al umbral de tu fracción</t>
        </is>
      </c>
      <c r="E400" s="264" t="inlineStr">
        <is>
          <t>La constitución o modificación patrimonial iguala o supera el umbral de Aviso de tu fracción del artículo 17.</t>
        </is>
      </c>
      <c r="F400" s="264" t="inlineStr">
        <is>
          <t>La constitución o modificación patrimonial se sitúa entre el umbral de identificación y el de Aviso.</t>
        </is>
      </c>
      <c r="G400" s="264" t="inlineStr">
        <is>
          <t>La constitución o modificación patrimonial queda por debajo del umbral de identificación.</t>
        </is>
      </c>
      <c r="H400" s="444" t="inlineStr">
        <is>
          <t>calculado</t>
        </is>
      </c>
    </row>
    <row r="401" ht="18.75" customHeight="1" s="225">
      <c r="A401" s="264">
        <f>B401&amp;"-"&amp;C401</f>
        <v/>
      </c>
      <c r="B401" s="442" t="inlineStr">
        <is>
          <t>XII - NOTARIOS: Const. o modif. patrimonial</t>
        </is>
      </c>
      <c r="C401" s="443" t="n">
        <v>21</v>
      </c>
      <c r="D401" s="264" t="inlineStr">
        <is>
          <t>Número y ritmo de operaciones en el periodo</t>
        </is>
      </c>
      <c r="E401" s="264" t="inlineStr">
        <is>
          <t>El socio o accionista realiza cinco o más operaciones al año, o varias en intervalos cortos y regulares.</t>
        </is>
      </c>
      <c r="F401" s="264" t="inlineStr">
        <is>
          <t>El socio o accionista realiza entre dos y cuatro operaciones al año.</t>
        </is>
      </c>
      <c r="G401" s="264" t="inlineStr">
        <is>
          <t>El socio o accionista realiza una sola operación en el periodo.</t>
        </is>
      </c>
      <c r="H401" s="444" t="inlineStr">
        <is>
          <t>calculado</t>
        </is>
      </c>
    </row>
    <row r="402" ht="18.75" customHeight="1" s="225">
      <c r="A402" s="264">
        <f>B402&amp;"-"&amp;C402</f>
        <v/>
      </c>
      <c r="B402" s="442" t="inlineStr">
        <is>
          <t>XII - NOTARIOS: Const. o modif. patrimonial</t>
        </is>
      </c>
      <c r="C402" s="443" t="n">
        <v>22</v>
      </c>
      <c r="D402" s="264" t="inlineStr">
        <is>
          <t>Canal: certeza de identificación del Cliente</t>
        </is>
      </c>
      <c r="E402" s="264" t="inlineStr">
        <is>
          <t>La operación llega por un gestor, plataforma o intermediario no acreditado: nadie responde por la identificación de el socio o accionista, y quien opera puede no ser quien dice ser.</t>
        </is>
      </c>
      <c r="F402" s="264" t="inlineStr">
        <is>
          <t>Se identifica a el socio o accionista de forma remota con verificación documental, o a través de un promotor o representante propio con contrato y responsable señalado.</t>
        </is>
      </c>
      <c r="G402" s="264" t="inlineStr">
        <is>
          <t>El socio o accionista comparece de forma directa, o se le identifica en remoto con biometría y prueba de vida.</t>
        </is>
      </c>
      <c r="H402" s="444" t="inlineStr">
        <is>
          <t>campo</t>
        </is>
      </c>
    </row>
    <row r="403" ht="18.75" customHeight="1" s="225">
      <c r="A403" s="264">
        <f>B403&amp;"-"&amp;C403</f>
        <v/>
      </c>
      <c r="B403" s="442" t="inlineStr">
        <is>
          <t>XII - NOTARIOS: Const. o modif. patrimonial</t>
        </is>
      </c>
      <c r="C403" s="443" t="n">
        <v>23</v>
      </c>
      <c r="D403" s="264" t="inlineStr">
        <is>
          <t>Acreditación del origen de los recursos</t>
        </is>
      </c>
      <c r="E403" s="264" t="inlineStr">
        <is>
          <t>El origen de los recursos se declara sin soporte documental, o no se manifiesta.</t>
        </is>
      </c>
      <c r="F403" s="264" t="inlineStr">
        <is>
          <t>El origen se declara y se acredita sólo de forma parcial.</t>
        </is>
      </c>
      <c r="G403" s="264" t="inlineStr">
        <is>
          <t>El origen se acredita con documentación verificable.</t>
        </is>
      </c>
      <c r="H403" s="444" t="inlineStr">
        <is>
          <t>bandera</t>
        </is>
      </c>
    </row>
    <row r="404" ht="18.75" customHeight="1" s="225">
      <c r="A404" s="264">
        <f>B404&amp;"-"&amp;C404</f>
        <v/>
      </c>
      <c r="B404" s="442" t="inlineStr">
        <is>
          <t>XII - NOTARIOS: Const. o modif. patrimonial</t>
        </is>
      </c>
      <c r="C404" s="443" t="n">
        <v>24</v>
      </c>
      <c r="D404" s="264" t="inlineStr">
        <is>
          <t>Acreditación del destino de los recursos o del bien</t>
        </is>
      </c>
      <c r="E404" s="264" t="inlineStr">
        <is>
          <t>El destino no se manifiesta, o los recursos o el capital social pasan a un tercero no relacionado con el socio o accionista.</t>
        </is>
      </c>
      <c r="F404" s="264" t="inlineStr">
        <is>
          <t>El destino se declara y es verificable.</t>
        </is>
      </c>
      <c r="G404" s="264" t="inlineStr">
        <is>
          <t>El destino es el capital social mismo, y queda registrado en la operación.</t>
        </is>
      </c>
      <c r="H404" s="444" t="inlineStr">
        <is>
          <t>bandera</t>
        </is>
      </c>
    </row>
    <row r="405" ht="18.75" customHeight="1" s="225">
      <c r="A405" s="264">
        <f>B405&amp;"-"&amp;C405</f>
        <v/>
      </c>
      <c r="B405" s="442" t="inlineStr">
        <is>
          <t>XII - NOTARIOS: Const. o modif. patrimonial</t>
        </is>
      </c>
      <c r="C405" s="443" t="n">
        <v>25</v>
      </c>
      <c r="D405" s="264" t="inlineStr">
        <is>
          <t>Combinación de canal e instrumento idónea para el financiamiento al terrorismo</t>
        </is>
      </c>
      <c r="E405" s="264" t="inlineStr">
        <is>
          <t>La constitución o modificación patrimonial combina contratación a distancia sin verificación reforzada con pagos en efectivo o instrumentos al portador.</t>
        </is>
      </c>
      <c r="F405" s="264" t="inlineStr">
        <is>
          <t>Concurre uno solo de los dos: o la contratación remota sin verificación reforzada, o el pago en instrumento no bancarizado.</t>
        </is>
      </c>
      <c r="G405" s="264" t="inlineStr">
        <is>
          <t>Ni la forma de contratar ni la de pagar permiten mover valor de forma anónima.</t>
        </is>
      </c>
      <c r="H405" s="444" t="inlineStr">
        <is>
          <t>bandera</t>
        </is>
      </c>
    </row>
    <row r="406" ht="18.75" customHeight="1" s="225">
      <c r="A406" s="264">
        <f>B406&amp;"-"&amp;C406</f>
        <v/>
      </c>
      <c r="B406" s="442" t="inlineStr">
        <is>
          <t>XII - NOTARIOS: Const. o modif. fideicomisos</t>
        </is>
      </c>
      <c r="C406" s="443" t="n">
        <v>1</v>
      </c>
      <c r="D406" s="264" t="inlineStr">
        <is>
          <t>Valor unitario de la operación</t>
        </is>
      </c>
      <c r="E406" s="264" t="inlineStr">
        <is>
          <t>El patrimonio fideicomitido tiene un valor unitario muy por encima del ticket promedio de tu operación de doce meses.</t>
        </is>
      </c>
      <c r="F406" s="264" t="inlineStr">
        <is>
          <t>El patrimonio fideicomitido tiene un valor unitario dentro del rango habitual de tu operación.</t>
        </is>
      </c>
      <c r="G406" s="264" t="inlineStr">
        <is>
          <t>El patrimonio fideicomitido tiene un valor unitario por debajo de tu ticket promedio.</t>
        </is>
      </c>
      <c r="H406" s="444" t="inlineStr">
        <is>
          <t>calculado</t>
        </is>
      </c>
    </row>
    <row r="407" ht="18.75" customHeight="1" s="225">
      <c r="A407" s="264">
        <f>B407&amp;"-"&amp;C407</f>
        <v/>
      </c>
      <c r="B407" s="442" t="inlineStr">
        <is>
          <t>XII - NOTARIOS: Const. o modif. fideicomisos</t>
        </is>
      </c>
      <c r="C407" s="443" t="n">
        <v>2</v>
      </c>
      <c r="D407" s="264" t="inlineStr">
        <is>
          <t>Liquidez: facilidad de convertir en dinero</t>
        </is>
      </c>
      <c r="E407" s="264" t="inlineStr">
        <is>
          <t>El patrimonio fideicomitido puede revenderse o cederse de inmediato y prácticamente a su valor íntegro.</t>
        </is>
      </c>
      <c r="F407" s="264" t="inlineStr">
        <is>
          <t>El patrimonio fideicomitido puede revenderse, pero con trámite, plazo o pérdida de valor apreciable.</t>
        </is>
      </c>
      <c r="G407" s="264" t="inlineStr">
        <is>
          <t>El patrimonio fideicomitido es difícil de revender: exige formalidades o registro, o pierde valor de forma significativa.</t>
        </is>
      </c>
      <c r="H407" s="444" t="inlineStr">
        <is>
          <t>bandera</t>
        </is>
      </c>
    </row>
    <row r="408" ht="18.75" customHeight="1" s="225">
      <c r="A408" s="264">
        <f>B408&amp;"-"&amp;C408</f>
        <v/>
      </c>
      <c r="B408" s="442" t="inlineStr">
        <is>
          <t>XII - NOTARIOS: Const. o modif. fideicomisos</t>
        </is>
      </c>
      <c r="C408" s="443" t="n">
        <v>3</v>
      </c>
      <c r="D408" s="264" t="inlineStr">
        <is>
          <t>Anonimato: si el beneficiario queda a la vista</t>
        </is>
      </c>
      <c r="E408" s="264" t="inlineStr">
        <is>
          <t>La constitución o modificación del fideicomiso admite que quien aparece no sea quien recibe el beneficio, sin que quede registro de quién es el beneficiario final.</t>
        </is>
      </c>
      <c r="F408" s="264" t="inlineStr">
        <is>
          <t>Se identifica a el fideicomitente, pero el beneficiario final se declara sin documento que lo respalde.</t>
        </is>
      </c>
      <c r="G408" s="264" t="inlineStr">
        <is>
          <t>El fideicomitente y el beneficiario final coinciden, y ambos constan en el expediente.</t>
        </is>
      </c>
      <c r="H408" s="444" t="inlineStr">
        <is>
          <t>bandera</t>
        </is>
      </c>
    </row>
    <row r="409" ht="18.75" customHeight="1" s="225">
      <c r="A409" s="264">
        <f>B409&amp;"-"&amp;C409</f>
        <v/>
      </c>
      <c r="B409" s="442" t="inlineStr">
        <is>
          <t>XII - NOTARIOS: Const. o modif. fideicomisos</t>
        </is>
      </c>
      <c r="C409" s="443" t="n">
        <v>4</v>
      </c>
      <c r="D409" s="264" t="inlineStr">
        <is>
          <t>Ocultamiento de valor en el precio</t>
        </is>
      </c>
      <c r="E409" s="264" t="inlineStr">
        <is>
          <t>La constitución o modificación del fideicomiso admite sobrevaluar, subvaluar o fraccionar el precio sin que la contabilidad lo refleje.</t>
        </is>
      </c>
      <c r="F409" s="264" t="inlineStr">
        <is>
          <t>El precio se aparta del valor de referencia, pero existe explicación documentada de la diferencia.</t>
        </is>
      </c>
      <c r="G409" s="264" t="inlineStr">
        <is>
          <t>El precio corresponde al valor de referencia y queda registrado en la contabilidad.</t>
        </is>
      </c>
      <c r="H409" s="444" t="inlineStr">
        <is>
          <t>bandera</t>
        </is>
      </c>
    </row>
    <row r="410" ht="18.75" customHeight="1" s="225">
      <c r="A410" s="264">
        <f>B410&amp;"-"&amp;C410</f>
        <v/>
      </c>
      <c r="B410" s="442" t="inlineStr">
        <is>
          <t>XII - NOTARIOS: Const. o modif. fideicomisos</t>
        </is>
      </c>
      <c r="C410" s="443" t="n">
        <v>5</v>
      </c>
      <c r="D410" s="264" t="inlineStr">
        <is>
          <t>Exposición a personas señaladas por terrorismo</t>
        </is>
      </c>
      <c r="E410" s="264" t="inlineStr">
        <is>
          <t>El fideicomitente, su beneficiario o su contraparte aparece en listas de sanciones o de organizaciones terroristas.</t>
        </is>
      </c>
      <c r="F410" s="264" t="inlineStr">
        <is>
          <t>Existe un vínculo indirecto —contraparte, domicilio o ruta de los fondos— con una jurisdicción en conflicto o de acción requerida.</t>
        </is>
      </c>
      <c r="G410" s="264" t="inlineStr">
        <is>
          <t>Sin coincidencias ni vínculos con esas listas ni con jurisdicciones en conflicto, con búsqueda documentada.</t>
        </is>
      </c>
      <c r="H410" s="444" t="inlineStr">
        <is>
          <t>campo</t>
        </is>
      </c>
    </row>
    <row r="411" ht="18.75" customHeight="1" s="225">
      <c r="A411" s="264">
        <f>B411&amp;"-"&amp;C411</f>
        <v/>
      </c>
      <c r="B411" s="442" t="inlineStr">
        <is>
          <t>XII - NOTARIOS: Const. o modif. fideicomisos</t>
        </is>
      </c>
      <c r="C411" s="443" t="n">
        <v>6</v>
      </c>
      <c r="D411" s="264" t="inlineStr">
        <is>
          <t>Tipo de persona</t>
        </is>
      </c>
      <c r="E411" s="264" t="inlineStr">
        <is>
          <t>El fideicomitente es un fideicomiso u otro vehículo sin personalidad jurídica propia. No hay un titular único: la figura permite que quien aporta el patrimonio y quien lo recibe sean personas distintas y que ninguna aparezca en el contrato.</t>
        </is>
      </c>
      <c r="F411" s="264" t="inlineStr">
        <is>
          <t>El fideicomitente es persona moral. La voluntad se forma en órganos y la propiedad está en socios, así que hay que llegar al Beneficiario Controlador para saber quién está realmente detrás.</t>
        </is>
      </c>
      <c r="G411" s="264" t="inlineStr">
        <is>
          <t>El fideicomitente es persona física. Coincide quien aporta el patrimonio y quien lo recibe, y la identificación es directa contra un solo expediente.</t>
        </is>
      </c>
      <c r="H411" s="444" t="inlineStr">
        <is>
          <t>campo</t>
        </is>
      </c>
    </row>
    <row r="412" ht="18.75" customHeight="1" s="225">
      <c r="A412" s="264">
        <f>B412&amp;"-"&amp;C412</f>
        <v/>
      </c>
      <c r="B412" s="442" t="inlineStr">
        <is>
          <t>XII - NOTARIOS: Const. o modif. fideicomisos</t>
        </is>
      </c>
      <c r="C412" s="443" t="n">
        <v>7</v>
      </c>
      <c r="D412" s="264" t="inlineStr">
        <is>
          <t>Antigüedad del Cliente</t>
        </is>
      </c>
      <c r="E412" s="264" t="inlineStr">
        <is>
          <t>Persona moral constituida hace menos de dos años, o persona física menor de veintitrés años.</t>
        </is>
      </c>
      <c r="F412" s="264" t="inlineStr">
        <is>
          <t>Persona moral constituida hace entre dos y cinco años.</t>
        </is>
      </c>
      <c r="G412" s="264" t="inlineStr">
        <is>
          <t>Persona moral con más de cinco años de constituida, o persona física de veintitrés años en adelante.</t>
        </is>
      </c>
      <c r="H412" s="444" t="inlineStr">
        <is>
          <t>campo</t>
        </is>
      </c>
    </row>
    <row r="413" ht="18.75" customHeight="1" s="225">
      <c r="A413" s="264">
        <f>B413&amp;"-"&amp;C413</f>
        <v/>
      </c>
      <c r="B413" s="442" t="inlineStr">
        <is>
          <t>XII - NOTARIOS: Const. o modif. fideicomisos</t>
        </is>
      </c>
      <c r="C413" s="443" t="n">
        <v>8</v>
      </c>
      <c r="D413" s="264" t="inlineStr">
        <is>
          <t>Giro o actividad declarada</t>
        </is>
      </c>
      <c r="E413" s="264" t="inlineStr">
        <is>
          <t>El giro que declara el fideicomitente es a su vez una Actividad Vulnerable del artículo 17, o no se acredita con documento alguno.</t>
        </is>
      </c>
      <c r="F413" s="264" t="inlineStr">
        <is>
          <t>El giro se declara y se acredita sólo de forma parcial.</t>
        </is>
      </c>
      <c r="G413" s="264" t="inlineStr">
        <is>
          <t>El giro se acredita con documento: constancia de situación fiscal, acta constitutiva o comprobante de empleo.</t>
        </is>
      </c>
      <c r="H413" s="444" t="inlineStr">
        <is>
          <t>campo</t>
        </is>
      </c>
    </row>
    <row r="414" ht="18.75" customHeight="1" s="225">
      <c r="A414" s="264">
        <f>B414&amp;"-"&amp;C414</f>
        <v/>
      </c>
      <c r="B414" s="442" t="inlineStr">
        <is>
          <t>XII - NOTARIOS: Const. o modif. fideicomisos</t>
        </is>
      </c>
      <c r="C414" s="443" t="n">
        <v>9</v>
      </c>
      <c r="D414" s="264" t="inlineStr">
        <is>
          <t>Nacionalidad</t>
        </is>
      </c>
      <c r="E414" s="264" t="inlineStr">
        <is>
          <t>Nacionalidad de país o jurisdicción señalada por la UIF, o no determinada.</t>
        </is>
      </c>
      <c r="F414" s="264" t="inlineStr">
        <is>
          <t>Nacionalidad extranjera de país sin señalamiento.</t>
        </is>
      </c>
      <c r="G414" s="264" t="inlineStr">
        <is>
          <t>Nacionalidad mexicana.</t>
        </is>
      </c>
      <c r="H414" s="444" t="inlineStr">
        <is>
          <t>campo</t>
        </is>
      </c>
    </row>
    <row r="415" ht="18.75" customHeight="1" s="225">
      <c r="A415" s="264">
        <f>B415&amp;"-"&amp;C415</f>
        <v/>
      </c>
      <c r="B415" s="442" t="inlineStr">
        <is>
          <t>XII - NOTARIOS: Const. o modif. fideicomisos</t>
        </is>
      </c>
      <c r="C415" s="443" t="n">
        <v>10</v>
      </c>
      <c r="D415" s="264" t="inlineStr">
        <is>
          <t>País y entidad de residencia</t>
        </is>
      </c>
      <c r="E415" s="264" t="inlineStr">
        <is>
          <t>Residencia en jurisdicción de régimen fiscal preferente o señalada por deficiencias, o domicilio no verificable.</t>
        </is>
      </c>
      <c r="F415" s="264" t="inlineStr">
        <is>
          <t>Residencia en el extranjero sin señalamiento, o en entidad federativa señalada en la ENR.</t>
        </is>
      </c>
      <c r="G415" s="264" t="inlineStr">
        <is>
          <t>Residencia en México, en entidad federativa sin señalamiento en la ENR.</t>
        </is>
      </c>
      <c r="H415" s="444" t="inlineStr">
        <is>
          <t>campo</t>
        </is>
      </c>
    </row>
    <row r="416" ht="18.75" customHeight="1" s="225">
      <c r="A416" s="264">
        <f>B416&amp;"-"&amp;C416</f>
        <v/>
      </c>
      <c r="B416" s="442" t="inlineStr">
        <is>
          <t>XII - NOTARIOS: Const. o modif. fideicomisos</t>
        </is>
      </c>
      <c r="C416" s="443" t="n">
        <v>11</v>
      </c>
      <c r="D416" s="264" t="inlineStr">
        <is>
          <t>Condición de Persona Políticamente Expuesta</t>
        </is>
      </c>
      <c r="E416" s="264" t="inlineStr">
        <is>
          <t>Persona Políticamente Expuesta extranjera, o nacional cuyo comportamiento transaccional no corresponde con sus ingresos y funciones.</t>
        </is>
      </c>
      <c r="F416" s="264" t="inlineStr">
        <is>
          <t>Persona Políticamente Expuesta nacional con comportamiento congruente, o familiar o allegado de una.</t>
        </is>
      </c>
      <c r="G416" s="264" t="inlineStr">
        <is>
          <t>Sin condición de Persona Políticamente Expuesta, con búsqueda documentada.</t>
        </is>
      </c>
      <c r="H416" s="444" t="inlineStr">
        <is>
          <t>campo</t>
        </is>
      </c>
    </row>
    <row r="417" ht="18.75" customHeight="1" s="225">
      <c r="A417" s="264">
        <f>B417&amp;"-"&amp;C417</f>
        <v/>
      </c>
      <c r="B417" s="442" t="inlineStr">
        <is>
          <t>XII - NOTARIOS: Const. o modif. fideicomisos</t>
        </is>
      </c>
      <c r="C417" s="443" t="n">
        <v>12</v>
      </c>
      <c r="D417" s="264" t="inlineStr">
        <is>
          <t>Resultado de la búsqueda en listas</t>
        </is>
      </c>
      <c r="E417" s="264" t="inlineStr">
        <is>
          <t>Coincidencia positiva en listas de personas bloqueadas o de sanciones, o búsqueda no realizada o sin constancia.</t>
        </is>
      </c>
      <c r="F417" s="264" t="inlineStr">
        <is>
          <t>Coincidencia descartada por homonimia acreditada, con constancia.</t>
        </is>
      </c>
      <c r="G417" s="264" t="inlineStr">
        <is>
          <t>Sin coincidencia, con constancia de la búsqueda y su fecha.</t>
        </is>
      </c>
      <c r="H417" s="444" t="inlineStr">
        <is>
          <t>campo</t>
        </is>
      </c>
    </row>
    <row r="418" ht="18.75" customHeight="1" s="225">
      <c r="A418" s="264">
        <f>B418&amp;"-"&amp;C418</f>
        <v/>
      </c>
      <c r="B418" s="442" t="inlineStr">
        <is>
          <t>XII - NOTARIOS: Const. o modif. fideicomisos</t>
        </is>
      </c>
      <c r="C418" s="443" t="n">
        <v>13</v>
      </c>
      <c r="D418" s="264" t="inlineStr">
        <is>
          <t>Profundidad de la cadena de control</t>
        </is>
      </c>
      <c r="E418" s="264" t="inlineStr">
        <is>
          <t>No se logra identificar al Beneficiario Controlador de el fideicomitente, o la cadena no es acreditable.</t>
        </is>
      </c>
      <c r="F418" s="264" t="inlineStr">
        <is>
          <t>El Beneficiario Controlador se identifica atravesando dos o más niveles societarios o fiduciarios.</t>
        </is>
      </c>
      <c r="G418" s="264" t="inlineStr">
        <is>
          <t>El Beneficiario Controlador se identifica en un solo nivel, o el fideicomitente es su propio beneficiario.</t>
        </is>
      </c>
      <c r="H418" s="444" t="inlineStr">
        <is>
          <t>calculado</t>
        </is>
      </c>
    </row>
    <row r="419" ht="18.75" customHeight="1" s="225">
      <c r="A419" s="264">
        <f>B419&amp;"-"&amp;C419</f>
        <v/>
      </c>
      <c r="B419" s="442" t="inlineStr">
        <is>
          <t>XII - NOTARIOS: Const. o modif. fideicomisos</t>
        </is>
      </c>
      <c r="C419" s="443" t="n">
        <v>14</v>
      </c>
      <c r="D419" s="264" t="inlineStr">
        <is>
          <t>País donde se realiza la operación</t>
        </is>
      </c>
      <c r="E419" s="264" t="inlineStr">
        <is>
          <t>La constitución o modificación del fideicomiso se pacta con o desde una jurisdicción de alto riesgo o no cooperante.</t>
        </is>
      </c>
      <c r="F419" s="264" t="inlineStr">
        <is>
          <t>La constitución o modificación del fideicomiso se pacta con una jurisdicción extranjera sin señalamiento.</t>
        </is>
      </c>
      <c r="G419" s="264" t="inlineStr">
        <is>
          <t>La constitución o modificación del fideicomiso se realiza íntegramente en México.</t>
        </is>
      </c>
      <c r="H419" s="444" t="inlineStr">
        <is>
          <t>campo</t>
        </is>
      </c>
    </row>
    <row r="420" ht="18.75" customHeight="1" s="225">
      <c r="A420" s="264">
        <f>B420&amp;"-"&amp;C420</f>
        <v/>
      </c>
      <c r="B420" s="442" t="inlineStr">
        <is>
          <t>XII - NOTARIOS: Const. o modif. fideicomisos</t>
        </is>
      </c>
      <c r="C420" s="443" t="n">
        <v>15</v>
      </c>
      <c r="D420" s="264" t="inlineStr">
        <is>
          <t>Entidad o municipio de la operación</t>
        </is>
      </c>
      <c r="E420" s="264" t="inlineStr">
        <is>
          <t>La constitución o modificación del fideicomiso ocurre en un municipio o zona identificada de alto riesgo.</t>
        </is>
      </c>
      <c r="F420" s="264" t="inlineStr">
        <is>
          <t>La constitución o modificación del fideicomiso ocurre en una entidad federativa con señalamiento en la ENR.</t>
        </is>
      </c>
      <c r="G420" s="264" t="inlineStr">
        <is>
          <t>La constitución o modificación del fideicomiso ocurre en una entidad federativa sin señalamiento en la ENR.</t>
        </is>
      </c>
      <c r="H420" s="444" t="inlineStr">
        <is>
          <t>campo</t>
        </is>
      </c>
    </row>
    <row r="421" ht="18.75" customHeight="1" s="225">
      <c r="A421" s="264">
        <f>B421&amp;"-"&amp;C421</f>
        <v/>
      </c>
      <c r="B421" s="442" t="inlineStr">
        <is>
          <t>XII - NOTARIOS: Const. o modif. fideicomisos</t>
        </is>
      </c>
      <c r="C421" s="443" t="n">
        <v>16</v>
      </c>
      <c r="D421" s="264" t="inlineStr">
        <is>
          <t>Vínculo con jurisdicción sancionada o de acción requerida</t>
        </is>
      </c>
      <c r="E421" s="264" t="inlineStr">
        <is>
          <t>Hay exposición directa a una jurisdicción sancionada, en conflicto armado o de acción requerida del GAFI.</t>
        </is>
      </c>
      <c r="F421" s="264" t="inlineStr">
        <is>
          <t>La exposición es indirecta: una contraparte o la ruta de los fondos toca esa jurisdicción.</t>
        </is>
      </c>
      <c r="G421" s="264" t="inlineStr">
        <is>
          <t>Sin exposición a jurisdicciones sancionadas, en conflicto ni de acción requerida.</t>
        </is>
      </c>
      <c r="H421" s="444" t="inlineStr">
        <is>
          <t>campo</t>
        </is>
      </c>
    </row>
    <row r="422" ht="18.75" customHeight="1" s="225">
      <c r="A422" s="264">
        <f>B422&amp;"-"&amp;C422</f>
        <v/>
      </c>
      <c r="B422" s="442" t="inlineStr">
        <is>
          <t>XII - NOTARIOS: Const. o modif. fideicomisos</t>
        </is>
      </c>
      <c r="C422" s="443" t="n">
        <v>17</v>
      </c>
      <c r="D422" s="264" t="inlineStr">
        <is>
          <t>Coincidencia entre domicilio y lugar de la operación</t>
        </is>
      </c>
      <c r="E422" s="264" t="inlineStr">
        <is>
          <t>El domicilio de el fideicomitente y el lugar de la constitución o modificación del fideicomiso no coinciden, y no hay explicación documentada.</t>
        </is>
      </c>
      <c r="F422" s="264" t="inlineStr">
        <is>
          <t>No coinciden, pero consta por escrito la razón de operar en ese lugar.</t>
        </is>
      </c>
      <c r="G422" s="264" t="inlineStr">
        <is>
          <t>El domicilio de el fideicomitente y el lugar de la constitución o modificación del fideicomiso coinciden.</t>
        </is>
      </c>
      <c r="H422" s="444" t="inlineStr">
        <is>
          <t>calculado</t>
        </is>
      </c>
    </row>
    <row r="423" ht="18.75" customHeight="1" s="225">
      <c r="A423" s="264">
        <f>B423&amp;"-"&amp;C423</f>
        <v/>
      </c>
      <c r="B423" s="442" t="inlineStr">
        <is>
          <t>XII - NOTARIOS: Const. o modif. fideicomisos</t>
        </is>
      </c>
      <c r="C423" s="443" t="n">
        <v>18</v>
      </c>
      <c r="D423" s="264" t="inlineStr">
        <is>
          <t>Instrumento con que se paga</t>
        </is>
      </c>
      <c r="E423" s="264" t="inlineStr">
        <is>
          <t>Efectivo por encima de tu umbral interno, instrumento al portador, o pago en especie.</t>
        </is>
      </c>
      <c r="F423" s="264" t="inlineStr">
        <is>
          <t>Pago mixto, con un componente en efectivo por debajo de tu umbral interno.</t>
        </is>
      </c>
      <c r="G423" s="264" t="inlineStr">
        <is>
          <t>Transferencia electrónica o cheque nominativo desde una cuenta a nombre de el fideicomitente.</t>
        </is>
      </c>
      <c r="H423" s="444" t="inlineStr">
        <is>
          <t>campo</t>
        </is>
      </c>
    </row>
    <row r="424" ht="18.75" customHeight="1" s="225">
      <c r="A424" s="264">
        <f>B424&amp;"-"&amp;C424</f>
        <v/>
      </c>
      <c r="B424" s="442" t="inlineStr">
        <is>
          <t>XII - NOTARIOS: Const. o modif. fideicomisos</t>
        </is>
      </c>
      <c r="C424" s="443" t="n">
        <v>19</v>
      </c>
      <c r="D424" s="264" t="inlineStr">
        <is>
          <t>Moneda de la operación</t>
        </is>
      </c>
      <c r="E424" s="264" t="inlineStr">
        <is>
          <t>Divisa distinta del dólar estadounidense y del euro, o activo virtual.</t>
        </is>
      </c>
      <c r="F424" s="264" t="inlineStr">
        <is>
          <t>Dólar estadounidense o euro, con soporte documental.</t>
        </is>
      </c>
      <c r="G424" s="264" t="inlineStr">
        <is>
          <t>Peso mexicano.</t>
        </is>
      </c>
      <c r="H424" s="444" t="inlineStr">
        <is>
          <t>campo</t>
        </is>
      </c>
    </row>
    <row r="425" ht="18.75" customHeight="1" s="225">
      <c r="A425" s="264">
        <f>B425&amp;"-"&amp;C425</f>
        <v/>
      </c>
      <c r="B425" s="442" t="inlineStr">
        <is>
          <t>XII - NOTARIOS: Const. o modif. fideicomisos</t>
        </is>
      </c>
      <c r="C425" s="443" t="n">
        <v>20</v>
      </c>
      <c r="D425" s="264" t="inlineStr">
        <is>
          <t>Monto frente al umbral de tu fracción</t>
        </is>
      </c>
      <c r="E425" s="264" t="inlineStr">
        <is>
          <t>La constitución o modificación del fideicomiso iguala o supera el umbral de Aviso de tu fracción del artículo 17.</t>
        </is>
      </c>
      <c r="F425" s="264" t="inlineStr">
        <is>
          <t>La constitución o modificación del fideicomiso se sitúa entre el umbral de identificación y el de Aviso.</t>
        </is>
      </c>
      <c r="G425" s="264" t="inlineStr">
        <is>
          <t>La constitución o modificación del fideicomiso queda por debajo del umbral de identificación.</t>
        </is>
      </c>
      <c r="H425" s="444" t="inlineStr">
        <is>
          <t>calculado</t>
        </is>
      </c>
    </row>
    <row r="426" ht="18.75" customHeight="1" s="225">
      <c r="A426" s="264">
        <f>B426&amp;"-"&amp;C426</f>
        <v/>
      </c>
      <c r="B426" s="442" t="inlineStr">
        <is>
          <t>XII - NOTARIOS: Const. o modif. fideicomisos</t>
        </is>
      </c>
      <c r="C426" s="443" t="n">
        <v>21</v>
      </c>
      <c r="D426" s="264" t="inlineStr">
        <is>
          <t>Número y ritmo de operaciones en el periodo</t>
        </is>
      </c>
      <c r="E426" s="264" t="inlineStr">
        <is>
          <t>El fideicomitente realiza cinco o más operaciones al año, o varias en intervalos cortos y regulares.</t>
        </is>
      </c>
      <c r="F426" s="264" t="inlineStr">
        <is>
          <t>El fideicomitente realiza entre dos y cuatro operaciones al año.</t>
        </is>
      </c>
      <c r="G426" s="264" t="inlineStr">
        <is>
          <t>El fideicomitente realiza una sola operación en el periodo.</t>
        </is>
      </c>
      <c r="H426" s="444" t="inlineStr">
        <is>
          <t>calculado</t>
        </is>
      </c>
    </row>
    <row r="427" ht="18.75" customHeight="1" s="225">
      <c r="A427" s="264">
        <f>B427&amp;"-"&amp;C427</f>
        <v/>
      </c>
      <c r="B427" s="442" t="inlineStr">
        <is>
          <t>XII - NOTARIOS: Const. o modif. fideicomisos</t>
        </is>
      </c>
      <c r="C427" s="443" t="n">
        <v>22</v>
      </c>
      <c r="D427" s="264" t="inlineStr">
        <is>
          <t>Canal: certeza de identificación del Cliente</t>
        </is>
      </c>
      <c r="E427" s="264" t="inlineStr">
        <is>
          <t>La operación llega por un gestor, plataforma o intermediario no acreditado: nadie responde por la identificación de el fideicomitente, y quien opera puede no ser quien dice ser.</t>
        </is>
      </c>
      <c r="F427" s="264" t="inlineStr">
        <is>
          <t>Se identifica a el fideicomitente de forma remota con verificación documental, o a través de un promotor o representante propio con contrato y responsable señalado.</t>
        </is>
      </c>
      <c r="G427" s="264" t="inlineStr">
        <is>
          <t>El fideicomitente comparece de forma directa, o se le identifica en remoto con biometría y prueba de vida.</t>
        </is>
      </c>
      <c r="H427" s="444" t="inlineStr">
        <is>
          <t>campo</t>
        </is>
      </c>
    </row>
    <row r="428" ht="18.75" customHeight="1" s="225">
      <c r="A428" s="264">
        <f>B428&amp;"-"&amp;C428</f>
        <v/>
      </c>
      <c r="B428" s="442" t="inlineStr">
        <is>
          <t>XII - NOTARIOS: Const. o modif. fideicomisos</t>
        </is>
      </c>
      <c r="C428" s="443" t="n">
        <v>23</v>
      </c>
      <c r="D428" s="264" t="inlineStr">
        <is>
          <t>Acreditación del origen de los recursos</t>
        </is>
      </c>
      <c r="E428" s="264" t="inlineStr">
        <is>
          <t>El origen de los recursos se declara sin soporte documental, o no se manifiesta.</t>
        </is>
      </c>
      <c r="F428" s="264" t="inlineStr">
        <is>
          <t>El origen se declara y se acredita sólo de forma parcial.</t>
        </is>
      </c>
      <c r="G428" s="264" t="inlineStr">
        <is>
          <t>El origen se acredita con documentación verificable.</t>
        </is>
      </c>
      <c r="H428" s="444" t="inlineStr">
        <is>
          <t>bandera</t>
        </is>
      </c>
    </row>
    <row r="429" ht="18.75" customHeight="1" s="225">
      <c r="A429" s="264">
        <f>B429&amp;"-"&amp;C429</f>
        <v/>
      </c>
      <c r="B429" s="442" t="inlineStr">
        <is>
          <t>XII - NOTARIOS: Const. o modif. fideicomisos</t>
        </is>
      </c>
      <c r="C429" s="443" t="n">
        <v>24</v>
      </c>
      <c r="D429" s="264" t="inlineStr">
        <is>
          <t>Acreditación del destino de los recursos o del bien</t>
        </is>
      </c>
      <c r="E429" s="264" t="inlineStr">
        <is>
          <t>El destino no se manifiesta, o los recursos o el patrimonio fideicomitido pasan a un tercero no relacionado con el fideicomitente.</t>
        </is>
      </c>
      <c r="F429" s="264" t="inlineStr">
        <is>
          <t>El destino se declara y es verificable.</t>
        </is>
      </c>
      <c r="G429" s="264" t="inlineStr">
        <is>
          <t>El destino es el patrimonio fideicomitido mismo, y queda registrado en la operación.</t>
        </is>
      </c>
      <c r="H429" s="444" t="inlineStr">
        <is>
          <t>bandera</t>
        </is>
      </c>
    </row>
    <row r="430" ht="18.75" customHeight="1" s="225">
      <c r="A430" s="264">
        <f>B430&amp;"-"&amp;C430</f>
        <v/>
      </c>
      <c r="B430" s="442" t="inlineStr">
        <is>
          <t>XII - NOTARIOS: Const. o modif. fideicomisos</t>
        </is>
      </c>
      <c r="C430" s="443" t="n">
        <v>25</v>
      </c>
      <c r="D430" s="264" t="inlineStr">
        <is>
          <t>Combinación de canal e instrumento idónea para el financiamiento al terrorismo</t>
        </is>
      </c>
      <c r="E430" s="264" t="inlineStr">
        <is>
          <t>La constitución o modificación del fideicomiso combina contratación a distancia sin verificación reforzada con pagos en efectivo o instrumentos al portador.</t>
        </is>
      </c>
      <c r="F430" s="264" t="inlineStr">
        <is>
          <t>Concurre uno solo de los dos: o la contratación remota sin verificación reforzada, o el pago en instrumento no bancarizado.</t>
        </is>
      </c>
      <c r="G430" s="264" t="inlineStr">
        <is>
          <t>Ni la forma de contratar ni la de pagar permiten mover valor de forma anónima.</t>
        </is>
      </c>
      <c r="H430" s="444" t="inlineStr">
        <is>
          <t>bandera</t>
        </is>
      </c>
    </row>
    <row r="431" ht="18.75" customHeight="1" s="225">
      <c r="A431" s="264">
        <f>B431&amp;"-"&amp;C431</f>
        <v/>
      </c>
      <c r="B431" s="442" t="inlineStr">
        <is>
          <t>XII - NOTARIOS: Mutuo con no financiero</t>
        </is>
      </c>
      <c r="C431" s="443" t="n">
        <v>1</v>
      </c>
      <c r="D431" s="264" t="inlineStr">
        <is>
          <t>Valor unitario de la operación</t>
        </is>
      </c>
      <c r="E431" s="264" t="inlineStr">
        <is>
          <t>El préstamo tiene un valor unitario muy por encima del ticket promedio de tu operación de doce meses.</t>
        </is>
      </c>
      <c r="F431" s="264" t="inlineStr">
        <is>
          <t>El préstamo tiene un valor unitario dentro del rango habitual de tu operación.</t>
        </is>
      </c>
      <c r="G431" s="264" t="inlineStr">
        <is>
          <t>El préstamo tiene un valor unitario por debajo de tu ticket promedio.</t>
        </is>
      </c>
      <c r="H431" s="444" t="inlineStr">
        <is>
          <t>calculado</t>
        </is>
      </c>
    </row>
    <row r="432" ht="18.75" customHeight="1" s="225">
      <c r="A432" s="264">
        <f>B432&amp;"-"&amp;C432</f>
        <v/>
      </c>
      <c r="B432" s="442" t="inlineStr">
        <is>
          <t>XII - NOTARIOS: Mutuo con no financiero</t>
        </is>
      </c>
      <c r="C432" s="443" t="n">
        <v>2</v>
      </c>
      <c r="D432" s="264" t="inlineStr">
        <is>
          <t>Liquidez: facilidad de convertir en dinero</t>
        </is>
      </c>
      <c r="E432" s="264" t="inlineStr">
        <is>
          <t>El préstamo puede revenderse o cederse de inmediato y prácticamente a su valor íntegro.</t>
        </is>
      </c>
      <c r="F432" s="264" t="inlineStr">
        <is>
          <t>El préstamo puede revenderse, pero con trámite, plazo o pérdida de valor apreciable.</t>
        </is>
      </c>
      <c r="G432" s="264" t="inlineStr">
        <is>
          <t>El préstamo es difícil de revender: exige formalidades o registro, o pierde valor de forma significativa.</t>
        </is>
      </c>
      <c r="H432" s="444" t="inlineStr">
        <is>
          <t>bandera</t>
        </is>
      </c>
    </row>
    <row r="433" ht="18.75" customHeight="1" s="225">
      <c r="A433" s="264">
        <f>B433&amp;"-"&amp;C433</f>
        <v/>
      </c>
      <c r="B433" s="442" t="inlineStr">
        <is>
          <t>XII - NOTARIOS: Mutuo con no financiero</t>
        </is>
      </c>
      <c r="C433" s="443" t="n">
        <v>3</v>
      </c>
      <c r="D433" s="264" t="inlineStr">
        <is>
          <t>Anonimato: si el beneficiario queda a la vista</t>
        </is>
      </c>
      <c r="E433" s="264" t="inlineStr">
        <is>
          <t>La formalización del mutuo admite que quien aparece no sea quien recibe el beneficio, sin que quede registro de quién es el beneficiario final.</t>
        </is>
      </c>
      <c r="F433" s="264" t="inlineStr">
        <is>
          <t>Se identifica a las partes del mutuo, pero el beneficiario final se declara sin documento que lo respalde.</t>
        </is>
      </c>
      <c r="G433" s="264" t="inlineStr">
        <is>
          <t>Las partes del mutuo y el beneficiario final coinciden, y ambos constan en el expediente.</t>
        </is>
      </c>
      <c r="H433" s="444" t="inlineStr">
        <is>
          <t>bandera</t>
        </is>
      </c>
    </row>
    <row r="434" ht="18.75" customHeight="1" s="225">
      <c r="A434" s="264">
        <f>B434&amp;"-"&amp;C434</f>
        <v/>
      </c>
      <c r="B434" s="442" t="inlineStr">
        <is>
          <t>XII - NOTARIOS: Mutuo con no financiero</t>
        </is>
      </c>
      <c r="C434" s="443" t="n">
        <v>4</v>
      </c>
      <c r="D434" s="264" t="inlineStr">
        <is>
          <t>Ocultamiento de valor en el precio</t>
        </is>
      </c>
      <c r="E434" s="264" t="inlineStr">
        <is>
          <t>La formalización del mutuo admite sobrevaluar, subvaluar o fraccionar el precio sin que la contabilidad lo refleje.</t>
        </is>
      </c>
      <c r="F434" s="264" t="inlineStr">
        <is>
          <t>El precio se aparta del valor de referencia, pero existe explicación documentada de la diferencia.</t>
        </is>
      </c>
      <c r="G434" s="264" t="inlineStr">
        <is>
          <t>El precio corresponde al valor de referencia y queda registrado en la contabilidad.</t>
        </is>
      </c>
      <c r="H434" s="444" t="inlineStr">
        <is>
          <t>bandera</t>
        </is>
      </c>
    </row>
    <row r="435" ht="18.75" customHeight="1" s="225">
      <c r="A435" s="264">
        <f>B435&amp;"-"&amp;C435</f>
        <v/>
      </c>
      <c r="B435" s="442" t="inlineStr">
        <is>
          <t>XII - NOTARIOS: Mutuo con no financiero</t>
        </is>
      </c>
      <c r="C435" s="443" t="n">
        <v>5</v>
      </c>
      <c r="D435" s="264" t="inlineStr">
        <is>
          <t>Exposición a personas señaladas por terrorismo</t>
        </is>
      </c>
      <c r="E435" s="264" t="inlineStr">
        <is>
          <t>Las partes del mutuo, su beneficiario o su contraparte aparece en listas de sanciones o de organizaciones terroristas.</t>
        </is>
      </c>
      <c r="F435" s="264" t="inlineStr">
        <is>
          <t>Existe un vínculo indirecto —contraparte, domicilio o ruta de los fondos— con una jurisdicción en conflicto o de acción requerida.</t>
        </is>
      </c>
      <c r="G435" s="264" t="inlineStr">
        <is>
          <t>Sin coincidencias ni vínculos con esas listas ni con jurisdicciones en conflicto, con búsqueda documentada.</t>
        </is>
      </c>
      <c r="H435" s="444" t="inlineStr">
        <is>
          <t>campo</t>
        </is>
      </c>
    </row>
    <row r="436" ht="18.75" customHeight="1" s="225">
      <c r="A436" s="264">
        <f>B436&amp;"-"&amp;C436</f>
        <v/>
      </c>
      <c r="B436" s="442" t="inlineStr">
        <is>
          <t>XII - NOTARIOS: Mutuo con no financiero</t>
        </is>
      </c>
      <c r="C436" s="443" t="n">
        <v>6</v>
      </c>
      <c r="D436" s="264" t="inlineStr">
        <is>
          <t>Tipo de persona</t>
        </is>
      </c>
      <c r="E436" s="264" t="inlineStr">
        <is>
          <t>El mutuante o mutuatario es un fideicomiso u otro vehículo sin personalidad jurídica propia. No hay un titular único: la figura permite que quien presta y quien recibe el dinero sean personas distintas y que ninguna aparezca en el contrato.</t>
        </is>
      </c>
      <c r="F436" s="264" t="inlineStr">
        <is>
          <t>El mutuante o mutuatario es persona moral. La voluntad se forma en órganos y la propiedad está en socios, así que hay que llegar al Beneficiario Controlador para saber quién está realmente detrás.</t>
        </is>
      </c>
      <c r="G436" s="264" t="inlineStr">
        <is>
          <t>El mutuante o mutuatario es persona física. Coincide quien presta y quien recibe el dinero, y la identificación es directa contra un solo expediente.</t>
        </is>
      </c>
      <c r="H436" s="444" t="inlineStr">
        <is>
          <t>campo</t>
        </is>
      </c>
    </row>
    <row r="437" ht="18.75" customHeight="1" s="225">
      <c r="A437" s="264">
        <f>B437&amp;"-"&amp;C437</f>
        <v/>
      </c>
      <c r="B437" s="442" t="inlineStr">
        <is>
          <t>XII - NOTARIOS: Mutuo con no financiero</t>
        </is>
      </c>
      <c r="C437" s="443" t="n">
        <v>7</v>
      </c>
      <c r="D437" s="264" t="inlineStr">
        <is>
          <t>Antigüedad del Cliente</t>
        </is>
      </c>
      <c r="E437" s="264" t="inlineStr">
        <is>
          <t>Persona moral constituida hace menos de dos años, o persona física menor de veintitrés años.</t>
        </is>
      </c>
      <c r="F437" s="264" t="inlineStr">
        <is>
          <t>Persona moral constituida hace entre dos y cinco años.</t>
        </is>
      </c>
      <c r="G437" s="264" t="inlineStr">
        <is>
          <t>Persona moral con más de cinco años de constituida, o persona física de veintitrés años en adelante.</t>
        </is>
      </c>
      <c r="H437" s="444" t="inlineStr">
        <is>
          <t>campo</t>
        </is>
      </c>
    </row>
    <row r="438" ht="18.75" customHeight="1" s="225">
      <c r="A438" s="264">
        <f>B438&amp;"-"&amp;C438</f>
        <v/>
      </c>
      <c r="B438" s="442" t="inlineStr">
        <is>
          <t>XII - NOTARIOS: Mutuo con no financiero</t>
        </is>
      </c>
      <c r="C438" s="443" t="n">
        <v>8</v>
      </c>
      <c r="D438" s="264" t="inlineStr">
        <is>
          <t>Giro o actividad declarada</t>
        </is>
      </c>
      <c r="E438" s="264" t="inlineStr">
        <is>
          <t>El giro que declara las partes del mutuo es a su vez una Actividad Vulnerable del artículo 17, o no se acredita con documento alguno.</t>
        </is>
      </c>
      <c r="F438" s="264" t="inlineStr">
        <is>
          <t>El giro se declara y se acredita sólo de forma parcial.</t>
        </is>
      </c>
      <c r="G438" s="264" t="inlineStr">
        <is>
          <t>El giro se acredita con documento: constancia de situación fiscal, acta constitutiva o comprobante de empleo.</t>
        </is>
      </c>
      <c r="H438" s="444" t="inlineStr">
        <is>
          <t>campo</t>
        </is>
      </c>
    </row>
    <row r="439" ht="18.75" customHeight="1" s="225">
      <c r="A439" s="264">
        <f>B439&amp;"-"&amp;C439</f>
        <v/>
      </c>
      <c r="B439" s="442" t="inlineStr">
        <is>
          <t>XII - NOTARIOS: Mutuo con no financiero</t>
        </is>
      </c>
      <c r="C439" s="443" t="n">
        <v>9</v>
      </c>
      <c r="D439" s="264" t="inlineStr">
        <is>
          <t>Nacionalidad</t>
        </is>
      </c>
      <c r="E439" s="264" t="inlineStr">
        <is>
          <t>Nacionalidad de país o jurisdicción señalada por la UIF, o no determinada.</t>
        </is>
      </c>
      <c r="F439" s="264" t="inlineStr">
        <is>
          <t>Nacionalidad extranjera de país sin señalamiento.</t>
        </is>
      </c>
      <c r="G439" s="264" t="inlineStr">
        <is>
          <t>Nacionalidad mexicana.</t>
        </is>
      </c>
      <c r="H439" s="444" t="inlineStr">
        <is>
          <t>campo</t>
        </is>
      </c>
    </row>
    <row r="440" ht="18.75" customHeight="1" s="225">
      <c r="A440" s="264">
        <f>B440&amp;"-"&amp;C440</f>
        <v/>
      </c>
      <c r="B440" s="442" t="inlineStr">
        <is>
          <t>XII - NOTARIOS: Mutuo con no financiero</t>
        </is>
      </c>
      <c r="C440" s="443" t="n">
        <v>10</v>
      </c>
      <c r="D440" s="264" t="inlineStr">
        <is>
          <t>País y entidad de residencia</t>
        </is>
      </c>
      <c r="E440" s="264" t="inlineStr">
        <is>
          <t>Residencia en jurisdicción de régimen fiscal preferente o señalada por deficiencias, o domicilio no verificable.</t>
        </is>
      </c>
      <c r="F440" s="264" t="inlineStr">
        <is>
          <t>Residencia en el extranjero sin señalamiento, o en entidad federativa señalada en la ENR.</t>
        </is>
      </c>
      <c r="G440" s="264" t="inlineStr">
        <is>
          <t>Residencia en México, en entidad federativa sin señalamiento en la ENR.</t>
        </is>
      </c>
      <c r="H440" s="444" t="inlineStr">
        <is>
          <t>campo</t>
        </is>
      </c>
    </row>
    <row r="441" ht="18.75" customHeight="1" s="225">
      <c r="A441" s="264">
        <f>B441&amp;"-"&amp;C441</f>
        <v/>
      </c>
      <c r="B441" s="442" t="inlineStr">
        <is>
          <t>XII - NOTARIOS: Mutuo con no financiero</t>
        </is>
      </c>
      <c r="C441" s="443" t="n">
        <v>11</v>
      </c>
      <c r="D441" s="264" t="inlineStr">
        <is>
          <t>Condición de Persona Políticamente Expuesta</t>
        </is>
      </c>
      <c r="E441" s="264" t="inlineStr">
        <is>
          <t>Persona Políticamente Expuesta extranjera, o nacional cuyo comportamiento transaccional no corresponde con sus ingresos y funciones.</t>
        </is>
      </c>
      <c r="F441" s="264" t="inlineStr">
        <is>
          <t>Persona Políticamente Expuesta nacional con comportamiento congruente, o familiar o allegado de una.</t>
        </is>
      </c>
      <c r="G441" s="264" t="inlineStr">
        <is>
          <t>Sin condición de Persona Políticamente Expuesta, con búsqueda documentada.</t>
        </is>
      </c>
      <c r="H441" s="444" t="inlineStr">
        <is>
          <t>campo</t>
        </is>
      </c>
    </row>
    <row r="442" ht="18.75" customHeight="1" s="225">
      <c r="A442" s="264">
        <f>B442&amp;"-"&amp;C442</f>
        <v/>
      </c>
      <c r="B442" s="442" t="inlineStr">
        <is>
          <t>XII - NOTARIOS: Mutuo con no financiero</t>
        </is>
      </c>
      <c r="C442" s="443" t="n">
        <v>12</v>
      </c>
      <c r="D442" s="264" t="inlineStr">
        <is>
          <t>Resultado de la búsqueda en listas</t>
        </is>
      </c>
      <c r="E442" s="264" t="inlineStr">
        <is>
          <t>Coincidencia positiva en listas de personas bloqueadas o de sanciones, o búsqueda no realizada o sin constancia.</t>
        </is>
      </c>
      <c r="F442" s="264" t="inlineStr">
        <is>
          <t>Coincidencia descartada por homonimia acreditada, con constancia.</t>
        </is>
      </c>
      <c r="G442" s="264" t="inlineStr">
        <is>
          <t>Sin coincidencia, con constancia de la búsqueda y su fecha.</t>
        </is>
      </c>
      <c r="H442" s="444" t="inlineStr">
        <is>
          <t>campo</t>
        </is>
      </c>
    </row>
    <row r="443" ht="18.75" customHeight="1" s="225">
      <c r="A443" s="264">
        <f>B443&amp;"-"&amp;C443</f>
        <v/>
      </c>
      <c r="B443" s="442" t="inlineStr">
        <is>
          <t>XII - NOTARIOS: Mutuo con no financiero</t>
        </is>
      </c>
      <c r="C443" s="443" t="n">
        <v>13</v>
      </c>
      <c r="D443" s="264" t="inlineStr">
        <is>
          <t>Profundidad de la cadena de control</t>
        </is>
      </c>
      <c r="E443" s="264" t="inlineStr">
        <is>
          <t>No se logra identificar al Beneficiario Controlador de las partes del mutuo, o la cadena no es acreditable.</t>
        </is>
      </c>
      <c r="F443" s="264" t="inlineStr">
        <is>
          <t>El Beneficiario Controlador se identifica atravesando dos o más niveles societarios o fiduciarios.</t>
        </is>
      </c>
      <c r="G443" s="264" t="inlineStr">
        <is>
          <t>El Beneficiario Controlador se identifica en un solo nivel, o las partes del mutuo es su propio beneficiario.</t>
        </is>
      </c>
      <c r="H443" s="444" t="inlineStr">
        <is>
          <t>calculado</t>
        </is>
      </c>
    </row>
    <row r="444" ht="18.75" customHeight="1" s="225">
      <c r="A444" s="264">
        <f>B444&amp;"-"&amp;C444</f>
        <v/>
      </c>
      <c r="B444" s="442" t="inlineStr">
        <is>
          <t>XII - NOTARIOS: Mutuo con no financiero</t>
        </is>
      </c>
      <c r="C444" s="443" t="n">
        <v>14</v>
      </c>
      <c r="D444" s="264" t="inlineStr">
        <is>
          <t>País donde se realiza la operación</t>
        </is>
      </c>
      <c r="E444" s="264" t="inlineStr">
        <is>
          <t>La formalización del mutuo se pacta con o desde una jurisdicción de alto riesgo o no cooperante.</t>
        </is>
      </c>
      <c r="F444" s="264" t="inlineStr">
        <is>
          <t>La formalización del mutuo se pacta con una jurisdicción extranjera sin señalamiento.</t>
        </is>
      </c>
      <c r="G444" s="264" t="inlineStr">
        <is>
          <t>La formalización del mutuo se realiza íntegramente en México.</t>
        </is>
      </c>
      <c r="H444" s="444" t="inlineStr">
        <is>
          <t>campo</t>
        </is>
      </c>
    </row>
    <row r="445" ht="18.75" customHeight="1" s="225">
      <c r="A445" s="264">
        <f>B445&amp;"-"&amp;C445</f>
        <v/>
      </c>
      <c r="B445" s="442" t="inlineStr">
        <is>
          <t>XII - NOTARIOS: Mutuo con no financiero</t>
        </is>
      </c>
      <c r="C445" s="443" t="n">
        <v>15</v>
      </c>
      <c r="D445" s="264" t="inlineStr">
        <is>
          <t>Entidad o municipio de la operación</t>
        </is>
      </c>
      <c r="E445" s="264" t="inlineStr">
        <is>
          <t>La formalización del mutuo ocurre en un municipio o zona identificada de alto riesgo.</t>
        </is>
      </c>
      <c r="F445" s="264" t="inlineStr">
        <is>
          <t>La formalización del mutuo ocurre en una entidad federativa con señalamiento en la ENR.</t>
        </is>
      </c>
      <c r="G445" s="264" t="inlineStr">
        <is>
          <t>La formalización del mutuo ocurre en una entidad federativa sin señalamiento en la ENR.</t>
        </is>
      </c>
      <c r="H445" s="444" t="inlineStr">
        <is>
          <t>campo</t>
        </is>
      </c>
    </row>
    <row r="446" ht="18.75" customHeight="1" s="225">
      <c r="A446" s="264">
        <f>B446&amp;"-"&amp;C446</f>
        <v/>
      </c>
      <c r="B446" s="442" t="inlineStr">
        <is>
          <t>XII - NOTARIOS: Mutuo con no financiero</t>
        </is>
      </c>
      <c r="C446" s="443" t="n">
        <v>16</v>
      </c>
      <c r="D446" s="264" t="inlineStr">
        <is>
          <t>Vínculo con jurisdicción sancionada o de acción requerida</t>
        </is>
      </c>
      <c r="E446" s="264" t="inlineStr">
        <is>
          <t>Hay exposición directa a una jurisdicción sancionada, en conflicto armado o de acción requerida del GAFI.</t>
        </is>
      </c>
      <c r="F446" s="264" t="inlineStr">
        <is>
          <t>La exposición es indirecta: una contraparte o la ruta de los fondos toca esa jurisdicción.</t>
        </is>
      </c>
      <c r="G446" s="264" t="inlineStr">
        <is>
          <t>Sin exposición a jurisdicciones sancionadas, en conflicto ni de acción requerida.</t>
        </is>
      </c>
      <c r="H446" s="444" t="inlineStr">
        <is>
          <t>campo</t>
        </is>
      </c>
    </row>
    <row r="447" ht="18.75" customHeight="1" s="225">
      <c r="A447" s="264">
        <f>B447&amp;"-"&amp;C447</f>
        <v/>
      </c>
      <c r="B447" s="442" t="inlineStr">
        <is>
          <t>XII - NOTARIOS: Mutuo con no financiero</t>
        </is>
      </c>
      <c r="C447" s="443" t="n">
        <v>17</v>
      </c>
      <c r="D447" s="264" t="inlineStr">
        <is>
          <t>Coincidencia entre domicilio y lugar de la operación</t>
        </is>
      </c>
      <c r="E447" s="264" t="inlineStr">
        <is>
          <t>El domicilio de las partes del mutuo y el lugar de la formalización del mutuo no coinciden, y no hay explicación documentada.</t>
        </is>
      </c>
      <c r="F447" s="264" t="inlineStr">
        <is>
          <t>No coinciden, pero consta por escrito la razón de operar en ese lugar.</t>
        </is>
      </c>
      <c r="G447" s="264" t="inlineStr">
        <is>
          <t>El domicilio de las partes del mutuo y el lugar de la formalización del mutuo coinciden.</t>
        </is>
      </c>
      <c r="H447" s="444" t="inlineStr">
        <is>
          <t>calculado</t>
        </is>
      </c>
    </row>
    <row r="448" ht="18.75" customHeight="1" s="225">
      <c r="A448" s="264">
        <f>B448&amp;"-"&amp;C448</f>
        <v/>
      </c>
      <c r="B448" s="442" t="inlineStr">
        <is>
          <t>XII - NOTARIOS: Mutuo con no financiero</t>
        </is>
      </c>
      <c r="C448" s="443" t="n">
        <v>18</v>
      </c>
      <c r="D448" s="264" t="inlineStr">
        <is>
          <t>Instrumento con que se paga</t>
        </is>
      </c>
      <c r="E448" s="264" t="inlineStr">
        <is>
          <t>Efectivo por encima de tu umbral interno, instrumento al portador, o pago en especie.</t>
        </is>
      </c>
      <c r="F448" s="264" t="inlineStr">
        <is>
          <t>Pago mixto, con un componente en efectivo por debajo de tu umbral interno.</t>
        </is>
      </c>
      <c r="G448" s="264" t="inlineStr">
        <is>
          <t>Transferencia electrónica o cheque nominativo desde una cuenta a nombre de las partes del mutuo.</t>
        </is>
      </c>
      <c r="H448" s="444" t="inlineStr">
        <is>
          <t>campo</t>
        </is>
      </c>
    </row>
    <row r="449" ht="18.75" customHeight="1" s="225">
      <c r="A449" s="264">
        <f>B449&amp;"-"&amp;C449</f>
        <v/>
      </c>
      <c r="B449" s="442" t="inlineStr">
        <is>
          <t>XII - NOTARIOS: Mutuo con no financiero</t>
        </is>
      </c>
      <c r="C449" s="443" t="n">
        <v>19</v>
      </c>
      <c r="D449" s="264" t="inlineStr">
        <is>
          <t>Moneda de la operación</t>
        </is>
      </c>
      <c r="E449" s="264" t="inlineStr">
        <is>
          <t>Divisa distinta del dólar estadounidense y del euro, o activo virtual.</t>
        </is>
      </c>
      <c r="F449" s="264" t="inlineStr">
        <is>
          <t>Dólar estadounidense o euro, con soporte documental.</t>
        </is>
      </c>
      <c r="G449" s="264" t="inlineStr">
        <is>
          <t>Peso mexicano.</t>
        </is>
      </c>
      <c r="H449" s="444" t="inlineStr">
        <is>
          <t>campo</t>
        </is>
      </c>
    </row>
    <row r="450" ht="18.75" customHeight="1" s="225">
      <c r="A450" s="264">
        <f>B450&amp;"-"&amp;C450</f>
        <v/>
      </c>
      <c r="B450" s="442" t="inlineStr">
        <is>
          <t>XII - NOTARIOS: Mutuo con no financiero</t>
        </is>
      </c>
      <c r="C450" s="443" t="n">
        <v>20</v>
      </c>
      <c r="D450" s="264" t="inlineStr">
        <is>
          <t>Monto frente al umbral de tu fracción</t>
        </is>
      </c>
      <c r="E450" s="264" t="inlineStr">
        <is>
          <t>La formalización del mutuo iguala o supera el umbral de Aviso de tu fracción del artículo 17.</t>
        </is>
      </c>
      <c r="F450" s="264" t="inlineStr">
        <is>
          <t>La formalización del mutuo se sitúa entre el umbral de identificación y el de Aviso.</t>
        </is>
      </c>
      <c r="G450" s="264" t="inlineStr">
        <is>
          <t>La formalización del mutuo queda por debajo del umbral de identificación.</t>
        </is>
      </c>
      <c r="H450" s="444" t="inlineStr">
        <is>
          <t>calculado</t>
        </is>
      </c>
    </row>
    <row r="451" ht="18.75" customHeight="1" s="225">
      <c r="A451" s="264">
        <f>B451&amp;"-"&amp;C451</f>
        <v/>
      </c>
      <c r="B451" s="442" t="inlineStr">
        <is>
          <t>XII - NOTARIOS: Mutuo con no financiero</t>
        </is>
      </c>
      <c r="C451" s="443" t="n">
        <v>21</v>
      </c>
      <c r="D451" s="264" t="inlineStr">
        <is>
          <t>Número y ritmo de operaciones en el periodo</t>
        </is>
      </c>
      <c r="E451" s="264" t="inlineStr">
        <is>
          <t>Las partes del mutuo realiza cinco o más operaciones al año, o varias en intervalos cortos y regulares.</t>
        </is>
      </c>
      <c r="F451" s="264" t="inlineStr">
        <is>
          <t>Las partes del mutuo realiza entre dos y cuatro operaciones al año.</t>
        </is>
      </c>
      <c r="G451" s="264" t="inlineStr">
        <is>
          <t>Las partes del mutuo realiza una sola operación en el periodo.</t>
        </is>
      </c>
      <c r="H451" s="444" t="inlineStr">
        <is>
          <t>calculado</t>
        </is>
      </c>
    </row>
    <row r="452" ht="18.75" customHeight="1" s="225">
      <c r="A452" s="264">
        <f>B452&amp;"-"&amp;C452</f>
        <v/>
      </c>
      <c r="B452" s="442" t="inlineStr">
        <is>
          <t>XII - NOTARIOS: Mutuo con no financiero</t>
        </is>
      </c>
      <c r="C452" s="443" t="n">
        <v>22</v>
      </c>
      <c r="D452" s="264" t="inlineStr">
        <is>
          <t>Canal: certeza de identificación del Cliente</t>
        </is>
      </c>
      <c r="E452" s="264" t="inlineStr">
        <is>
          <t>La operación llega por un gestor, plataforma o intermediario no acreditado: nadie responde por la identificación de las partes, y quien opera puede no ser quien dice ser.</t>
        </is>
      </c>
      <c r="F452" s="264" t="inlineStr">
        <is>
          <t>Se identifica a las partes de forma remota con verificación documental, o a través de un promotor o representante propio con contrato y responsable señalado.</t>
        </is>
      </c>
      <c r="G452" s="264" t="inlineStr">
        <is>
          <t>Las partes comparece de forma directa, o se le identifica en remoto con biometría y prueba de vida.</t>
        </is>
      </c>
      <c r="H452" s="444" t="inlineStr">
        <is>
          <t>campo</t>
        </is>
      </c>
    </row>
    <row r="453" ht="18.75" customHeight="1" s="225">
      <c r="A453" s="264">
        <f>B453&amp;"-"&amp;C453</f>
        <v/>
      </c>
      <c r="B453" s="442" t="inlineStr">
        <is>
          <t>XII - NOTARIOS: Mutuo con no financiero</t>
        </is>
      </c>
      <c r="C453" s="443" t="n">
        <v>23</v>
      </c>
      <c r="D453" s="264" t="inlineStr">
        <is>
          <t>Acreditación del origen de los recursos</t>
        </is>
      </c>
      <c r="E453" s="264" t="inlineStr">
        <is>
          <t>El origen de los recursos se declara sin soporte documental, o no se manifiesta.</t>
        </is>
      </c>
      <c r="F453" s="264" t="inlineStr">
        <is>
          <t>El origen se declara y se acredita sólo de forma parcial.</t>
        </is>
      </c>
      <c r="G453" s="264" t="inlineStr">
        <is>
          <t>El origen se acredita con documentación verificable.</t>
        </is>
      </c>
      <c r="H453" s="444" t="inlineStr">
        <is>
          <t>bandera</t>
        </is>
      </c>
    </row>
    <row r="454" ht="18.75" customHeight="1" s="225">
      <c r="A454" s="264">
        <f>B454&amp;"-"&amp;C454</f>
        <v/>
      </c>
      <c r="B454" s="442" t="inlineStr">
        <is>
          <t>XII - NOTARIOS: Mutuo con no financiero</t>
        </is>
      </c>
      <c r="C454" s="443" t="n">
        <v>24</v>
      </c>
      <c r="D454" s="264" t="inlineStr">
        <is>
          <t>Acreditación del destino de los recursos o del bien</t>
        </is>
      </c>
      <c r="E454" s="264" t="inlineStr">
        <is>
          <t>El destino no se manifiesta, o los recursos o el préstamo pasan a un tercero no relacionado con las partes del mutuo.</t>
        </is>
      </c>
      <c r="F454" s="264" t="inlineStr">
        <is>
          <t>El destino se declara y es verificable.</t>
        </is>
      </c>
      <c r="G454" s="264" t="inlineStr">
        <is>
          <t>El destino es el préstamo mismo, y queda registrado en la operación.</t>
        </is>
      </c>
      <c r="H454" s="444" t="inlineStr">
        <is>
          <t>bandera</t>
        </is>
      </c>
    </row>
    <row r="455" ht="18.75" customHeight="1" s="225">
      <c r="A455" s="264">
        <f>B455&amp;"-"&amp;C455</f>
        <v/>
      </c>
      <c r="B455" s="442" t="inlineStr">
        <is>
          <t>XII - NOTARIOS: Mutuo con no financiero</t>
        </is>
      </c>
      <c r="C455" s="443" t="n">
        <v>25</v>
      </c>
      <c r="D455" s="264" t="inlineStr">
        <is>
          <t>Combinación de canal e instrumento idónea para el financiamiento al terrorismo</t>
        </is>
      </c>
      <c r="E455" s="264" t="inlineStr">
        <is>
          <t>La formalización del mutuo combina contratación a distancia sin verificación reforzada con pagos en efectivo o instrumentos al portador.</t>
        </is>
      </c>
      <c r="F455" s="264" t="inlineStr">
        <is>
          <t>Concurre uno solo de los dos: o la contratación remota sin verificación reforzada, o el pago en instrumento no bancarizado.</t>
        </is>
      </c>
      <c r="G455" s="264" t="inlineStr">
        <is>
          <t>Ni la forma de contratar ni la de pagar permiten mover valor de forma anónima.</t>
        </is>
      </c>
      <c r="H455" s="444" t="inlineStr">
        <is>
          <t>bandera</t>
        </is>
      </c>
    </row>
    <row r="456" ht="18.75" customHeight="1" s="225">
      <c r="A456" s="264">
        <f>B456&amp;"-"&amp;C456</f>
        <v/>
      </c>
      <c r="B456" s="442" t="inlineStr">
        <is>
          <t>XII - CORREDORES: Avalúos</t>
        </is>
      </c>
      <c r="C456" s="443" t="n">
        <v>1</v>
      </c>
      <c r="D456" s="264" t="inlineStr">
        <is>
          <t>Valor unitario de la operación</t>
        </is>
      </c>
      <c r="E456" s="264" t="inlineStr">
        <is>
          <t>El bien valuado tiene un valor unitario muy por encima del ticket promedio de tu operación de doce meses.</t>
        </is>
      </c>
      <c r="F456" s="264" t="inlineStr">
        <is>
          <t>El bien valuado tiene un valor unitario dentro del rango habitual de tu operación.</t>
        </is>
      </c>
      <c r="G456" s="264" t="inlineStr">
        <is>
          <t>El bien valuado tiene un valor unitario por debajo de tu ticket promedio.</t>
        </is>
      </c>
      <c r="H456" s="444" t="inlineStr">
        <is>
          <t>calculado</t>
        </is>
      </c>
    </row>
    <row r="457" ht="18.75" customHeight="1" s="225">
      <c r="A457" s="264">
        <f>B457&amp;"-"&amp;C457</f>
        <v/>
      </c>
      <c r="B457" s="442" t="inlineStr">
        <is>
          <t>XII - CORREDORES: Avalúos</t>
        </is>
      </c>
      <c r="C457" s="443" t="n">
        <v>2</v>
      </c>
      <c r="D457" s="264" t="inlineStr">
        <is>
          <t>Liquidez: facilidad de convertir en dinero</t>
        </is>
      </c>
      <c r="E457" s="264" t="inlineStr">
        <is>
          <t>El bien valuado puede revenderse o cederse de inmediato y prácticamente a su valor íntegro.</t>
        </is>
      </c>
      <c r="F457" s="264" t="inlineStr">
        <is>
          <t>El bien valuado puede revenderse, pero con trámite, plazo o pérdida de valor apreciable.</t>
        </is>
      </c>
      <c r="G457" s="264" t="inlineStr">
        <is>
          <t>El bien valuado es difícil de revender: exige formalidades o registro, o pierde valor de forma significativa.</t>
        </is>
      </c>
      <c r="H457" s="444" t="inlineStr">
        <is>
          <t>bandera</t>
        </is>
      </c>
    </row>
    <row r="458" ht="18.75" customHeight="1" s="225">
      <c r="A458" s="264">
        <f>B458&amp;"-"&amp;C458</f>
        <v/>
      </c>
      <c r="B458" s="442" t="inlineStr">
        <is>
          <t>XII - CORREDORES: Avalúos</t>
        </is>
      </c>
      <c r="C458" s="443" t="n">
        <v>3</v>
      </c>
      <c r="D458" s="264" t="inlineStr">
        <is>
          <t>Anonimato: si el beneficiario queda a la vista</t>
        </is>
      </c>
      <c r="E458" s="264" t="inlineStr">
        <is>
          <t>La emisión del avalúo admite que quien aparece no sea quien recibe el beneficio, sin que quede registro de quién es el beneficiario final.</t>
        </is>
      </c>
      <c r="F458" s="264" t="inlineStr">
        <is>
          <t>Se identifica a quien solicita el avalúo, pero el beneficiario final se declara sin documento que lo respalde.</t>
        </is>
      </c>
      <c r="G458" s="264" t="inlineStr">
        <is>
          <t>Quien solicita el avalúo y el beneficiario final coinciden, y ambos constan en el expediente.</t>
        </is>
      </c>
      <c r="H458" s="444" t="inlineStr">
        <is>
          <t>bandera</t>
        </is>
      </c>
    </row>
    <row r="459" ht="18.75" customHeight="1" s="225">
      <c r="A459" s="264">
        <f>B459&amp;"-"&amp;C459</f>
        <v/>
      </c>
      <c r="B459" s="442" t="inlineStr">
        <is>
          <t>XII - CORREDORES: Avalúos</t>
        </is>
      </c>
      <c r="C459" s="443" t="n">
        <v>4</v>
      </c>
      <c r="D459" s="264" t="inlineStr">
        <is>
          <t>Ocultamiento de valor en el precio</t>
        </is>
      </c>
      <c r="E459" s="264" t="inlineStr">
        <is>
          <t>La emisión del avalúo admite sobrevaluar, subvaluar o fraccionar el precio sin que la contabilidad lo refleje.</t>
        </is>
      </c>
      <c r="F459" s="264" t="inlineStr">
        <is>
          <t>El precio se aparta del valor de referencia, pero existe explicación documentada de la diferencia.</t>
        </is>
      </c>
      <c r="G459" s="264" t="inlineStr">
        <is>
          <t>El precio corresponde al valor de referencia y queda registrado en la contabilidad.</t>
        </is>
      </c>
      <c r="H459" s="444" t="inlineStr">
        <is>
          <t>bandera</t>
        </is>
      </c>
    </row>
    <row r="460" ht="18.75" customHeight="1" s="225">
      <c r="A460" s="264">
        <f>B460&amp;"-"&amp;C460</f>
        <v/>
      </c>
      <c r="B460" s="442" t="inlineStr">
        <is>
          <t>XII - CORREDORES: Avalúos</t>
        </is>
      </c>
      <c r="C460" s="443" t="n">
        <v>5</v>
      </c>
      <c r="D460" s="264" t="inlineStr">
        <is>
          <t>Exposición a personas señaladas por terrorismo</t>
        </is>
      </c>
      <c r="E460" s="264" t="inlineStr">
        <is>
          <t>Quien solicita el avalúo, su beneficiario o su contraparte aparece en listas de sanciones o de organizaciones terroristas.</t>
        </is>
      </c>
      <c r="F460" s="264" t="inlineStr">
        <is>
          <t>Existe un vínculo indirecto —contraparte, domicilio o ruta de los fondos— con una jurisdicción en conflicto o de acción requerida.</t>
        </is>
      </c>
      <c r="G460" s="264" t="inlineStr">
        <is>
          <t>Sin coincidencias ni vínculos con esas listas ni con jurisdicciones en conflicto, con búsqueda documentada.</t>
        </is>
      </c>
      <c r="H460" s="444" t="inlineStr">
        <is>
          <t>campo</t>
        </is>
      </c>
    </row>
    <row r="461" ht="18.75" customHeight="1" s="225">
      <c r="A461" s="264">
        <f>B461&amp;"-"&amp;C461</f>
        <v/>
      </c>
      <c r="B461" s="442" t="inlineStr">
        <is>
          <t>XII - CORREDORES: Avalúos</t>
        </is>
      </c>
      <c r="C461" s="443" t="n">
        <v>6</v>
      </c>
      <c r="D461" s="264" t="inlineStr">
        <is>
          <t>Tipo de persona</t>
        </is>
      </c>
      <c r="E461" s="264" t="inlineStr">
        <is>
          <t>Quien solicita el avalúo es un fideicomiso u otro vehículo sin personalidad jurídica propia. No hay un titular único: la figura permite que quien lo pide y quien lo aprovecha sean personas distintas y que ninguna aparezca en el contrato.</t>
        </is>
      </c>
      <c r="F461" s="264" t="inlineStr">
        <is>
          <t>Quien solicita el avalúo es persona moral. La voluntad se forma en órganos y la propiedad está en socios, así que hay que llegar al Beneficiario Controlador para saber quién está realmente detrás.</t>
        </is>
      </c>
      <c r="G461" s="264" t="inlineStr">
        <is>
          <t>Quien solicita el avalúo es persona física. Coincide quien lo pide y quien lo aprovecha, y la identificación es directa contra un solo expediente.</t>
        </is>
      </c>
      <c r="H461" s="444" t="inlineStr">
        <is>
          <t>campo</t>
        </is>
      </c>
    </row>
    <row r="462" ht="18.75" customHeight="1" s="225">
      <c r="A462" s="264">
        <f>B462&amp;"-"&amp;C462</f>
        <v/>
      </c>
      <c r="B462" s="442" t="inlineStr">
        <is>
          <t>XII - CORREDORES: Avalúos</t>
        </is>
      </c>
      <c r="C462" s="443" t="n">
        <v>7</v>
      </c>
      <c r="D462" s="264" t="inlineStr">
        <is>
          <t>Antigüedad del Cliente</t>
        </is>
      </c>
      <c r="E462" s="264" t="inlineStr">
        <is>
          <t>Persona moral constituida hace menos de dos años, o persona física menor de veintitrés años.</t>
        </is>
      </c>
      <c r="F462" s="264" t="inlineStr">
        <is>
          <t>Persona moral constituida hace entre dos y cinco años.</t>
        </is>
      </c>
      <c r="G462" s="264" t="inlineStr">
        <is>
          <t>Persona moral con más de cinco años de constituida, o persona física de veintitrés años en adelante.</t>
        </is>
      </c>
      <c r="H462" s="444" t="inlineStr">
        <is>
          <t>campo</t>
        </is>
      </c>
    </row>
    <row r="463" ht="18.75" customHeight="1" s="225">
      <c r="A463" s="264">
        <f>B463&amp;"-"&amp;C463</f>
        <v/>
      </c>
      <c r="B463" s="442" t="inlineStr">
        <is>
          <t>XII - CORREDORES: Avalúos</t>
        </is>
      </c>
      <c r="C463" s="443" t="n">
        <v>8</v>
      </c>
      <c r="D463" s="264" t="inlineStr">
        <is>
          <t>Giro o actividad declarada</t>
        </is>
      </c>
      <c r="E463" s="264" t="inlineStr">
        <is>
          <t>El giro que declara quien solicita el avalúo es a su vez una Actividad Vulnerable del artículo 17, o no se acredita con documento alguno.</t>
        </is>
      </c>
      <c r="F463" s="264" t="inlineStr">
        <is>
          <t>El giro se declara y se acredita sólo de forma parcial.</t>
        </is>
      </c>
      <c r="G463" s="264" t="inlineStr">
        <is>
          <t>El giro se acredita con documento: constancia de situación fiscal, acta constitutiva o comprobante de empleo.</t>
        </is>
      </c>
      <c r="H463" s="444" t="inlineStr">
        <is>
          <t>campo</t>
        </is>
      </c>
    </row>
    <row r="464" ht="18.75" customHeight="1" s="225">
      <c r="A464" s="264">
        <f>B464&amp;"-"&amp;C464</f>
        <v/>
      </c>
      <c r="B464" s="442" t="inlineStr">
        <is>
          <t>XII - CORREDORES: Avalúos</t>
        </is>
      </c>
      <c r="C464" s="443" t="n">
        <v>9</v>
      </c>
      <c r="D464" s="264" t="inlineStr">
        <is>
          <t>Nacionalidad</t>
        </is>
      </c>
      <c r="E464" s="264" t="inlineStr">
        <is>
          <t>Nacionalidad de país o jurisdicción señalada por la UIF, o no determinada.</t>
        </is>
      </c>
      <c r="F464" s="264" t="inlineStr">
        <is>
          <t>Nacionalidad extranjera de país sin señalamiento.</t>
        </is>
      </c>
      <c r="G464" s="264" t="inlineStr">
        <is>
          <t>Nacionalidad mexicana.</t>
        </is>
      </c>
      <c r="H464" s="444" t="inlineStr">
        <is>
          <t>campo</t>
        </is>
      </c>
    </row>
    <row r="465" ht="18.75" customHeight="1" s="225">
      <c r="A465" s="264">
        <f>B465&amp;"-"&amp;C465</f>
        <v/>
      </c>
      <c r="B465" s="442" t="inlineStr">
        <is>
          <t>XII - CORREDORES: Avalúos</t>
        </is>
      </c>
      <c r="C465" s="443" t="n">
        <v>10</v>
      </c>
      <c r="D465" s="264" t="inlineStr">
        <is>
          <t>País y entidad de residencia</t>
        </is>
      </c>
      <c r="E465" s="264" t="inlineStr">
        <is>
          <t>Residencia en jurisdicción de régimen fiscal preferente o señalada por deficiencias, o domicilio no verificable.</t>
        </is>
      </c>
      <c r="F465" s="264" t="inlineStr">
        <is>
          <t>Residencia en el extranjero sin señalamiento, o en entidad federativa señalada en la ENR.</t>
        </is>
      </c>
      <c r="G465" s="264" t="inlineStr">
        <is>
          <t>Residencia en México, en entidad federativa sin señalamiento en la ENR.</t>
        </is>
      </c>
      <c r="H465" s="444" t="inlineStr">
        <is>
          <t>campo</t>
        </is>
      </c>
    </row>
    <row r="466" ht="18.75" customHeight="1" s="225">
      <c r="A466" s="264">
        <f>B466&amp;"-"&amp;C466</f>
        <v/>
      </c>
      <c r="B466" s="442" t="inlineStr">
        <is>
          <t>XII - CORREDORES: Avalúos</t>
        </is>
      </c>
      <c r="C466" s="443" t="n">
        <v>11</v>
      </c>
      <c r="D466" s="264" t="inlineStr">
        <is>
          <t>Condición de Persona Políticamente Expuesta</t>
        </is>
      </c>
      <c r="E466" s="264" t="inlineStr">
        <is>
          <t>Persona Políticamente Expuesta extranjera, o nacional cuyo comportamiento transaccional no corresponde con sus ingresos y funciones.</t>
        </is>
      </c>
      <c r="F466" s="264" t="inlineStr">
        <is>
          <t>Persona Políticamente Expuesta nacional con comportamiento congruente, o familiar o allegado de una.</t>
        </is>
      </c>
      <c r="G466" s="264" t="inlineStr">
        <is>
          <t>Sin condición de Persona Políticamente Expuesta, con búsqueda documentada.</t>
        </is>
      </c>
      <c r="H466" s="444" t="inlineStr">
        <is>
          <t>campo</t>
        </is>
      </c>
    </row>
    <row r="467" ht="18.75" customHeight="1" s="225">
      <c r="A467" s="264">
        <f>B467&amp;"-"&amp;C467</f>
        <v/>
      </c>
      <c r="B467" s="442" t="inlineStr">
        <is>
          <t>XII - CORREDORES: Avalúos</t>
        </is>
      </c>
      <c r="C467" s="443" t="n">
        <v>12</v>
      </c>
      <c r="D467" s="264" t="inlineStr">
        <is>
          <t>Resultado de la búsqueda en listas</t>
        </is>
      </c>
      <c r="E467" s="264" t="inlineStr">
        <is>
          <t>Coincidencia positiva en listas de personas bloqueadas o de sanciones, o búsqueda no realizada o sin constancia.</t>
        </is>
      </c>
      <c r="F467" s="264" t="inlineStr">
        <is>
          <t>Coincidencia descartada por homonimia acreditada, con constancia.</t>
        </is>
      </c>
      <c r="G467" s="264" t="inlineStr">
        <is>
          <t>Sin coincidencia, con constancia de la búsqueda y su fecha.</t>
        </is>
      </c>
      <c r="H467" s="444" t="inlineStr">
        <is>
          <t>campo</t>
        </is>
      </c>
    </row>
    <row r="468" ht="18.75" customHeight="1" s="225">
      <c r="A468" s="264">
        <f>B468&amp;"-"&amp;C468</f>
        <v/>
      </c>
      <c r="B468" s="442" t="inlineStr">
        <is>
          <t>XII - CORREDORES: Avalúos</t>
        </is>
      </c>
      <c r="C468" s="443" t="n">
        <v>13</v>
      </c>
      <c r="D468" s="264" t="inlineStr">
        <is>
          <t>Profundidad de la cadena de control</t>
        </is>
      </c>
      <c r="E468" s="264" t="inlineStr">
        <is>
          <t>No se logra identificar al Beneficiario Controlador de quien solicita el avalúo, o la cadena no es acreditable.</t>
        </is>
      </c>
      <c r="F468" s="264" t="inlineStr">
        <is>
          <t>El Beneficiario Controlador se identifica atravesando dos o más niveles societarios o fiduciarios.</t>
        </is>
      </c>
      <c r="G468" s="264" t="inlineStr">
        <is>
          <t>El Beneficiario Controlador se identifica en un solo nivel, o quien solicita el avalúo es su propio beneficiario.</t>
        </is>
      </c>
      <c r="H468" s="444" t="inlineStr">
        <is>
          <t>calculado</t>
        </is>
      </c>
    </row>
    <row r="469" ht="18.75" customHeight="1" s="225">
      <c r="A469" s="264">
        <f>B469&amp;"-"&amp;C469</f>
        <v/>
      </c>
      <c r="B469" s="442" t="inlineStr">
        <is>
          <t>XII - CORREDORES: Avalúos</t>
        </is>
      </c>
      <c r="C469" s="443" t="n">
        <v>14</v>
      </c>
      <c r="D469" s="264" t="inlineStr">
        <is>
          <t>País donde se realiza la operación</t>
        </is>
      </c>
      <c r="E469" s="264" t="inlineStr">
        <is>
          <t>La emisión del avalúo se pacta con o desde una jurisdicción de alto riesgo o no cooperante.</t>
        </is>
      </c>
      <c r="F469" s="264" t="inlineStr">
        <is>
          <t>La emisión del avalúo se pacta con una jurisdicción extranjera sin señalamiento.</t>
        </is>
      </c>
      <c r="G469" s="264" t="inlineStr">
        <is>
          <t>La emisión del avalúo se realiza íntegramente en México.</t>
        </is>
      </c>
      <c r="H469" s="444" t="inlineStr">
        <is>
          <t>campo</t>
        </is>
      </c>
    </row>
    <row r="470" ht="18.75" customHeight="1" s="225">
      <c r="A470" s="264">
        <f>B470&amp;"-"&amp;C470</f>
        <v/>
      </c>
      <c r="B470" s="442" t="inlineStr">
        <is>
          <t>XII - CORREDORES: Avalúos</t>
        </is>
      </c>
      <c r="C470" s="443" t="n">
        <v>15</v>
      </c>
      <c r="D470" s="264" t="inlineStr">
        <is>
          <t>Entidad o municipio de la operación</t>
        </is>
      </c>
      <c r="E470" s="264" t="inlineStr">
        <is>
          <t>La emisión del avalúo ocurre en un municipio o zona identificada de alto riesgo.</t>
        </is>
      </c>
      <c r="F470" s="264" t="inlineStr">
        <is>
          <t>La emisión del avalúo ocurre en una entidad federativa con señalamiento en la ENR.</t>
        </is>
      </c>
      <c r="G470" s="264" t="inlineStr">
        <is>
          <t>La emisión del avalúo ocurre en una entidad federativa sin señalamiento en la ENR.</t>
        </is>
      </c>
      <c r="H470" s="444" t="inlineStr">
        <is>
          <t>campo</t>
        </is>
      </c>
    </row>
    <row r="471" ht="18.75" customHeight="1" s="225">
      <c r="A471" s="264">
        <f>B471&amp;"-"&amp;C471</f>
        <v/>
      </c>
      <c r="B471" s="442" t="inlineStr">
        <is>
          <t>XII - CORREDORES: Avalúos</t>
        </is>
      </c>
      <c r="C471" s="443" t="n">
        <v>16</v>
      </c>
      <c r="D471" s="264" t="inlineStr">
        <is>
          <t>Vínculo con jurisdicción sancionada o de acción requerida</t>
        </is>
      </c>
      <c r="E471" s="264" t="inlineStr">
        <is>
          <t>Hay exposición directa a una jurisdicción sancionada, en conflicto armado o de acción requerida del GAFI.</t>
        </is>
      </c>
      <c r="F471" s="264" t="inlineStr">
        <is>
          <t>La exposición es indirecta: una contraparte o la ruta de los fondos toca esa jurisdicción.</t>
        </is>
      </c>
      <c r="G471" s="264" t="inlineStr">
        <is>
          <t>Sin exposición a jurisdicciones sancionadas, en conflicto ni de acción requerida.</t>
        </is>
      </c>
      <c r="H471" s="444" t="inlineStr">
        <is>
          <t>campo</t>
        </is>
      </c>
    </row>
    <row r="472" ht="18.75" customHeight="1" s="225">
      <c r="A472" s="264">
        <f>B472&amp;"-"&amp;C472</f>
        <v/>
      </c>
      <c r="B472" s="442" t="inlineStr">
        <is>
          <t>XII - CORREDORES: Avalúos</t>
        </is>
      </c>
      <c r="C472" s="443" t="n">
        <v>17</v>
      </c>
      <c r="D472" s="264" t="inlineStr">
        <is>
          <t>Coincidencia entre domicilio y lugar de la operación</t>
        </is>
      </c>
      <c r="E472" s="264" t="inlineStr">
        <is>
          <t>El domicilio de quien solicita el avalúo y el lugar de la emisión del avalúo no coinciden, y no hay explicación documentada.</t>
        </is>
      </c>
      <c r="F472" s="264" t="inlineStr">
        <is>
          <t>No coinciden, pero consta por escrito la razón de operar en ese lugar.</t>
        </is>
      </c>
      <c r="G472" s="264" t="inlineStr">
        <is>
          <t>El domicilio de quien solicita el avalúo y el lugar de la emisión del avalúo coinciden.</t>
        </is>
      </c>
      <c r="H472" s="444" t="inlineStr">
        <is>
          <t>calculado</t>
        </is>
      </c>
    </row>
    <row r="473" ht="18.75" customHeight="1" s="225">
      <c r="A473" s="264">
        <f>B473&amp;"-"&amp;C473</f>
        <v/>
      </c>
      <c r="B473" s="442" t="inlineStr">
        <is>
          <t>XII - CORREDORES: Avalúos</t>
        </is>
      </c>
      <c r="C473" s="443" t="n">
        <v>18</v>
      </c>
      <c r="D473" s="264" t="inlineStr">
        <is>
          <t>Instrumento con que se paga</t>
        </is>
      </c>
      <c r="E473" s="264" t="inlineStr">
        <is>
          <t>Efectivo por encima de tu umbral interno, instrumento al portador, o pago en especie.</t>
        </is>
      </c>
      <c r="F473" s="264" t="inlineStr">
        <is>
          <t>Pago mixto, con un componente en efectivo por debajo de tu umbral interno.</t>
        </is>
      </c>
      <c r="G473" s="264" t="inlineStr">
        <is>
          <t>Transferencia electrónica o cheque nominativo desde una cuenta a nombre de quien solicita el avalúo.</t>
        </is>
      </c>
      <c r="H473" s="444" t="inlineStr">
        <is>
          <t>campo</t>
        </is>
      </c>
    </row>
    <row r="474" ht="18.75" customHeight="1" s="225">
      <c r="A474" s="264">
        <f>B474&amp;"-"&amp;C474</f>
        <v/>
      </c>
      <c r="B474" s="442" t="inlineStr">
        <is>
          <t>XII - CORREDORES: Avalúos</t>
        </is>
      </c>
      <c r="C474" s="443" t="n">
        <v>19</v>
      </c>
      <c r="D474" s="264" t="inlineStr">
        <is>
          <t>Moneda de la operación</t>
        </is>
      </c>
      <c r="E474" s="264" t="inlineStr">
        <is>
          <t>Divisa distinta del dólar estadounidense y del euro, o activo virtual.</t>
        </is>
      </c>
      <c r="F474" s="264" t="inlineStr">
        <is>
          <t>Dólar estadounidense o euro, con soporte documental.</t>
        </is>
      </c>
      <c r="G474" s="264" t="inlineStr">
        <is>
          <t>Peso mexicano.</t>
        </is>
      </c>
      <c r="H474" s="444" t="inlineStr">
        <is>
          <t>campo</t>
        </is>
      </c>
    </row>
    <row r="475" ht="18.75" customHeight="1" s="225">
      <c r="A475" s="264">
        <f>B475&amp;"-"&amp;C475</f>
        <v/>
      </c>
      <c r="B475" s="442" t="inlineStr">
        <is>
          <t>XII - CORREDORES: Avalúos</t>
        </is>
      </c>
      <c r="C475" s="443" t="n">
        <v>20</v>
      </c>
      <c r="D475" s="264" t="inlineStr">
        <is>
          <t>Monto frente al umbral de tu fracción</t>
        </is>
      </c>
      <c r="E475" s="264" t="inlineStr">
        <is>
          <t>La emisión del avalúo iguala o supera el umbral de Aviso de tu fracción del artículo 17.</t>
        </is>
      </c>
      <c r="F475" s="264" t="inlineStr">
        <is>
          <t>La emisión del avalúo se sitúa entre el umbral de identificación y el de Aviso.</t>
        </is>
      </c>
      <c r="G475" s="264" t="inlineStr">
        <is>
          <t>La emisión del avalúo queda por debajo del umbral de identificación.</t>
        </is>
      </c>
      <c r="H475" s="444" t="inlineStr">
        <is>
          <t>calculado</t>
        </is>
      </c>
    </row>
    <row r="476" ht="18.75" customHeight="1" s="225">
      <c r="A476" s="264">
        <f>B476&amp;"-"&amp;C476</f>
        <v/>
      </c>
      <c r="B476" s="442" t="inlineStr">
        <is>
          <t>XII - CORREDORES: Avalúos</t>
        </is>
      </c>
      <c r="C476" s="443" t="n">
        <v>21</v>
      </c>
      <c r="D476" s="264" t="inlineStr">
        <is>
          <t>Número y ritmo de operaciones en el periodo</t>
        </is>
      </c>
      <c r="E476" s="264" t="inlineStr">
        <is>
          <t>Quien solicita el avalúo realiza cinco o más operaciones al año, o varias en intervalos cortos y regulares.</t>
        </is>
      </c>
      <c r="F476" s="264" t="inlineStr">
        <is>
          <t>Quien solicita el avalúo realiza entre dos y cuatro operaciones al año.</t>
        </is>
      </c>
      <c r="G476" s="264" t="inlineStr">
        <is>
          <t>Quien solicita el avalúo realiza una sola operación en el periodo.</t>
        </is>
      </c>
      <c r="H476" s="444" t="inlineStr">
        <is>
          <t>calculado</t>
        </is>
      </c>
    </row>
    <row r="477" ht="18.75" customHeight="1" s="225">
      <c r="A477" s="264">
        <f>B477&amp;"-"&amp;C477</f>
        <v/>
      </c>
      <c r="B477" s="442" t="inlineStr">
        <is>
          <t>XII - CORREDORES: Avalúos</t>
        </is>
      </c>
      <c r="C477" s="443" t="n">
        <v>22</v>
      </c>
      <c r="D477" s="264" t="inlineStr">
        <is>
          <t>Canal: certeza de identificación del Cliente</t>
        </is>
      </c>
      <c r="E477" s="264" t="inlineStr">
        <is>
          <t>La operación llega por un gestor, plataforma o intermediario no acreditado: nadie responde por la identificación de quien solicita el avalúo, y quien opera puede no ser quien dice ser.</t>
        </is>
      </c>
      <c r="F477" s="264" t="inlineStr">
        <is>
          <t>Se identifica a quien solicita el avalúo de forma remota con verificación documental, o a través de un promotor o representante propio con contrato y responsable señalado.</t>
        </is>
      </c>
      <c r="G477" s="264" t="inlineStr">
        <is>
          <t>Quien solicita el avalúo comparece de forma directa, o se le identifica en remoto con biometría y prueba de vida.</t>
        </is>
      </c>
      <c r="H477" s="444" t="inlineStr">
        <is>
          <t>campo</t>
        </is>
      </c>
    </row>
    <row r="478" ht="18.75" customHeight="1" s="225">
      <c r="A478" s="264">
        <f>B478&amp;"-"&amp;C478</f>
        <v/>
      </c>
      <c r="B478" s="442" t="inlineStr">
        <is>
          <t>XII - CORREDORES: Avalúos</t>
        </is>
      </c>
      <c r="C478" s="443" t="n">
        <v>23</v>
      </c>
      <c r="D478" s="264" t="inlineStr">
        <is>
          <t>Acreditación del origen de los recursos</t>
        </is>
      </c>
      <c r="E478" s="264" t="inlineStr">
        <is>
          <t>El origen de los recursos se declara sin soporte documental, o no se manifiesta.</t>
        </is>
      </c>
      <c r="F478" s="264" t="inlineStr">
        <is>
          <t>El origen se declara y se acredita sólo de forma parcial.</t>
        </is>
      </c>
      <c r="G478" s="264" t="inlineStr">
        <is>
          <t>El origen se acredita con documentación verificable.</t>
        </is>
      </c>
      <c r="H478" s="444" t="inlineStr">
        <is>
          <t>bandera</t>
        </is>
      </c>
    </row>
    <row r="479" ht="18.75" customHeight="1" s="225">
      <c r="A479" s="264">
        <f>B479&amp;"-"&amp;C479</f>
        <v/>
      </c>
      <c r="B479" s="442" t="inlineStr">
        <is>
          <t>XII - CORREDORES: Avalúos</t>
        </is>
      </c>
      <c r="C479" s="443" t="n">
        <v>24</v>
      </c>
      <c r="D479" s="264" t="inlineStr">
        <is>
          <t>Acreditación del destino de los recursos o del bien</t>
        </is>
      </c>
      <c r="E479" s="264" t="inlineStr">
        <is>
          <t>El destino no se manifiesta, o los recursos o el bien valuado pasan a un tercero no relacionado con quien solicita el avalúo.</t>
        </is>
      </c>
      <c r="F479" s="264" t="inlineStr">
        <is>
          <t>El destino se declara y es verificable.</t>
        </is>
      </c>
      <c r="G479" s="264" t="inlineStr">
        <is>
          <t>El destino es el bien valuado mismo, y queda registrado en la operación.</t>
        </is>
      </c>
      <c r="H479" s="444" t="inlineStr">
        <is>
          <t>bandera</t>
        </is>
      </c>
    </row>
    <row r="480" ht="18.75" customHeight="1" s="225">
      <c r="A480" s="264">
        <f>B480&amp;"-"&amp;C480</f>
        <v/>
      </c>
      <c r="B480" s="442" t="inlineStr">
        <is>
          <t>XII - CORREDORES: Avalúos</t>
        </is>
      </c>
      <c r="C480" s="443" t="n">
        <v>25</v>
      </c>
      <c r="D480" s="264" t="inlineStr">
        <is>
          <t>Combinación de canal e instrumento idónea para el financiamiento al terrorismo</t>
        </is>
      </c>
      <c r="E480" s="264" t="inlineStr">
        <is>
          <t>La emisión del avalúo combina contratación a distancia sin verificación reforzada con pagos en efectivo o instrumentos al portador.</t>
        </is>
      </c>
      <c r="F480" s="264" t="inlineStr">
        <is>
          <t>Concurre uno solo de los dos: o la contratación remota sin verificación reforzada, o el pago en instrumento no bancarizado.</t>
        </is>
      </c>
      <c r="G480" s="264" t="inlineStr">
        <is>
          <t>Ni la forma de contratar ni la de pagar permiten mover valor de forma anónima.</t>
        </is>
      </c>
      <c r="H480" s="444" t="inlineStr">
        <is>
          <t>bandera</t>
        </is>
      </c>
    </row>
    <row r="481" ht="18.75" customHeight="1" s="225">
      <c r="A481" s="264">
        <f>B481&amp;"-"&amp;C481</f>
        <v/>
      </c>
      <c r="B481" s="442" t="inlineStr">
        <is>
          <t>XII - CORREDORES: Const. o modif. patrimonial</t>
        </is>
      </c>
      <c r="C481" s="443" t="n">
        <v>1</v>
      </c>
      <c r="D481" s="264" t="inlineStr">
        <is>
          <t>Valor unitario de la operación</t>
        </is>
      </c>
      <c r="E481" s="264" t="inlineStr">
        <is>
          <t>El capital social tiene un valor unitario muy por encima del ticket promedio de tu operación de doce meses.</t>
        </is>
      </c>
      <c r="F481" s="264" t="inlineStr">
        <is>
          <t>El capital social tiene un valor unitario dentro del rango habitual de tu operación.</t>
        </is>
      </c>
      <c r="G481" s="264" t="inlineStr">
        <is>
          <t>El capital social tiene un valor unitario por debajo de tu ticket promedio.</t>
        </is>
      </c>
      <c r="H481" s="444" t="inlineStr">
        <is>
          <t>calculado</t>
        </is>
      </c>
    </row>
    <row r="482" ht="18.75" customHeight="1" s="225">
      <c r="A482" s="264">
        <f>B482&amp;"-"&amp;C482</f>
        <v/>
      </c>
      <c r="B482" s="442" t="inlineStr">
        <is>
          <t>XII - CORREDORES: Const. o modif. patrimonial</t>
        </is>
      </c>
      <c r="C482" s="443" t="n">
        <v>2</v>
      </c>
      <c r="D482" s="264" t="inlineStr">
        <is>
          <t>Liquidez: facilidad de convertir en dinero</t>
        </is>
      </c>
      <c r="E482" s="264" t="inlineStr">
        <is>
          <t>El capital social puede revenderse o cederse de inmediato y prácticamente a su valor íntegro.</t>
        </is>
      </c>
      <c r="F482" s="264" t="inlineStr">
        <is>
          <t>El capital social puede revenderse, pero con trámite, plazo o pérdida de valor apreciable.</t>
        </is>
      </c>
      <c r="G482" s="264" t="inlineStr">
        <is>
          <t>El capital social es difícil de revender: exige formalidades o registro, o pierde valor de forma significativa.</t>
        </is>
      </c>
      <c r="H482" s="444" t="inlineStr">
        <is>
          <t>bandera</t>
        </is>
      </c>
    </row>
    <row r="483" ht="18.75" customHeight="1" s="225">
      <c r="A483" s="264">
        <f>B483&amp;"-"&amp;C483</f>
        <v/>
      </c>
      <c r="B483" s="442" t="inlineStr">
        <is>
          <t>XII - CORREDORES: Const. o modif. patrimonial</t>
        </is>
      </c>
      <c r="C483" s="443" t="n">
        <v>3</v>
      </c>
      <c r="D483" s="264" t="inlineStr">
        <is>
          <t>Anonimato: si el beneficiario queda a la vista</t>
        </is>
      </c>
      <c r="E483" s="264" t="inlineStr">
        <is>
          <t>La constitución o modificación patrimonial admite que quien aparece no sea quien recibe el beneficio, sin que quede registro de quién es el beneficiario final.</t>
        </is>
      </c>
      <c r="F483" s="264" t="inlineStr">
        <is>
          <t>Se identifica a el socio o accionista, pero el beneficiario final se declara sin documento que lo respalde.</t>
        </is>
      </c>
      <c r="G483" s="264" t="inlineStr">
        <is>
          <t>El socio o accionista y el beneficiario final coinciden, y ambos constan en el expediente.</t>
        </is>
      </c>
      <c r="H483" s="444" t="inlineStr">
        <is>
          <t>bandera</t>
        </is>
      </c>
    </row>
    <row r="484" ht="18.75" customHeight="1" s="225">
      <c r="A484" s="264">
        <f>B484&amp;"-"&amp;C484</f>
        <v/>
      </c>
      <c r="B484" s="442" t="inlineStr">
        <is>
          <t>XII - CORREDORES: Const. o modif. patrimonial</t>
        </is>
      </c>
      <c r="C484" s="443" t="n">
        <v>4</v>
      </c>
      <c r="D484" s="264" t="inlineStr">
        <is>
          <t>Ocultamiento de valor en el precio</t>
        </is>
      </c>
      <c r="E484" s="264" t="inlineStr">
        <is>
          <t>La constitución o modificación patrimonial admite sobrevaluar, subvaluar o fraccionar el precio sin que la contabilidad lo refleje.</t>
        </is>
      </c>
      <c r="F484" s="264" t="inlineStr">
        <is>
          <t>El precio se aparta del valor de referencia, pero existe explicación documentada de la diferencia.</t>
        </is>
      </c>
      <c r="G484" s="264" t="inlineStr">
        <is>
          <t>El precio corresponde al valor de referencia y queda registrado en la contabilidad.</t>
        </is>
      </c>
      <c r="H484" s="444" t="inlineStr">
        <is>
          <t>bandera</t>
        </is>
      </c>
    </row>
    <row r="485" ht="18.75" customHeight="1" s="225">
      <c r="A485" s="264">
        <f>B485&amp;"-"&amp;C485</f>
        <v/>
      </c>
      <c r="B485" s="442" t="inlineStr">
        <is>
          <t>XII - CORREDORES: Const. o modif. patrimonial</t>
        </is>
      </c>
      <c r="C485" s="443" t="n">
        <v>5</v>
      </c>
      <c r="D485" s="264" t="inlineStr">
        <is>
          <t>Exposición a personas señaladas por terrorismo</t>
        </is>
      </c>
      <c r="E485" s="264" t="inlineStr">
        <is>
          <t>El socio o accionista, su beneficiario o su contraparte aparece en listas de sanciones o de organizaciones terroristas.</t>
        </is>
      </c>
      <c r="F485" s="264" t="inlineStr">
        <is>
          <t>Existe un vínculo indirecto —contraparte, domicilio o ruta de los fondos— con una jurisdicción en conflicto o de acción requerida.</t>
        </is>
      </c>
      <c r="G485" s="264" t="inlineStr">
        <is>
          <t>Sin coincidencias ni vínculos con esas listas ni con jurisdicciones en conflicto, con búsqueda documentada.</t>
        </is>
      </c>
      <c r="H485" s="444" t="inlineStr">
        <is>
          <t>campo</t>
        </is>
      </c>
    </row>
    <row r="486" ht="18.75" customHeight="1" s="225">
      <c r="A486" s="264">
        <f>B486&amp;"-"&amp;C486</f>
        <v/>
      </c>
      <c r="B486" s="442" t="inlineStr">
        <is>
          <t>XII - CORREDORES: Const. o modif. patrimonial</t>
        </is>
      </c>
      <c r="C486" s="443" t="n">
        <v>6</v>
      </c>
      <c r="D486" s="264" t="inlineStr">
        <is>
          <t>Tipo de persona</t>
        </is>
      </c>
      <c r="E486" s="264" t="inlineStr">
        <is>
          <t>El socio o accionista es un fideicomiso u otro vehículo sin personalidad jurídica propia. No hay un titular único: la figura permite que quien aporta el capital y quien controla la sociedad sean personas distintas y que ninguna aparezca en el contrato.</t>
        </is>
      </c>
      <c r="F486" s="264" t="inlineStr">
        <is>
          <t>El socio o accionista es persona moral. La voluntad se forma en órganos y la propiedad está en socios, así que hay que llegar al Beneficiario Controlador para saber quién está realmente detrás.</t>
        </is>
      </c>
      <c r="G486" s="264" t="inlineStr">
        <is>
          <t>El socio o accionista es persona física. Coincide quien aporta el capital y quien controla la sociedad, y la identificación es directa contra un solo expediente.</t>
        </is>
      </c>
      <c r="H486" s="444" t="inlineStr">
        <is>
          <t>campo</t>
        </is>
      </c>
    </row>
    <row r="487" ht="18.75" customHeight="1" s="225">
      <c r="A487" s="264">
        <f>B487&amp;"-"&amp;C487</f>
        <v/>
      </c>
      <c r="B487" s="442" t="inlineStr">
        <is>
          <t>XII - CORREDORES: Const. o modif. patrimonial</t>
        </is>
      </c>
      <c r="C487" s="443" t="n">
        <v>7</v>
      </c>
      <c r="D487" s="264" t="inlineStr">
        <is>
          <t>Antigüedad del Cliente</t>
        </is>
      </c>
      <c r="E487" s="264" t="inlineStr">
        <is>
          <t>Persona moral constituida hace menos de dos años, o persona física menor de veintitrés años.</t>
        </is>
      </c>
      <c r="F487" s="264" t="inlineStr">
        <is>
          <t>Persona moral constituida hace entre dos y cinco años.</t>
        </is>
      </c>
      <c r="G487" s="264" t="inlineStr">
        <is>
          <t>Persona moral con más de cinco años de constituida, o persona física de veintitrés años en adelante.</t>
        </is>
      </c>
      <c r="H487" s="444" t="inlineStr">
        <is>
          <t>campo</t>
        </is>
      </c>
    </row>
    <row r="488" ht="18.75" customHeight="1" s="225">
      <c r="A488" s="264">
        <f>B488&amp;"-"&amp;C488</f>
        <v/>
      </c>
      <c r="B488" s="442" t="inlineStr">
        <is>
          <t>XII - CORREDORES: Const. o modif. patrimonial</t>
        </is>
      </c>
      <c r="C488" s="443" t="n">
        <v>8</v>
      </c>
      <c r="D488" s="264" t="inlineStr">
        <is>
          <t>Giro o actividad declarada</t>
        </is>
      </c>
      <c r="E488" s="264" t="inlineStr">
        <is>
          <t>El giro que declara el socio o accionista es a su vez una Actividad Vulnerable del artículo 17, o no se acredita con documento alguno.</t>
        </is>
      </c>
      <c r="F488" s="264" t="inlineStr">
        <is>
          <t>El giro se declara y se acredita sólo de forma parcial.</t>
        </is>
      </c>
      <c r="G488" s="264" t="inlineStr">
        <is>
          <t>El giro se acredita con documento: constancia de situación fiscal, acta constitutiva o comprobante de empleo.</t>
        </is>
      </c>
      <c r="H488" s="444" t="inlineStr">
        <is>
          <t>campo</t>
        </is>
      </c>
    </row>
    <row r="489" ht="18.75" customHeight="1" s="225">
      <c r="A489" s="264">
        <f>B489&amp;"-"&amp;C489</f>
        <v/>
      </c>
      <c r="B489" s="442" t="inlineStr">
        <is>
          <t>XII - CORREDORES: Const. o modif. patrimonial</t>
        </is>
      </c>
      <c r="C489" s="443" t="n">
        <v>9</v>
      </c>
      <c r="D489" s="264" t="inlineStr">
        <is>
          <t>Nacionalidad</t>
        </is>
      </c>
      <c r="E489" s="264" t="inlineStr">
        <is>
          <t>Nacionalidad de país o jurisdicción señalada por la UIF, o no determinada.</t>
        </is>
      </c>
      <c r="F489" s="264" t="inlineStr">
        <is>
          <t>Nacionalidad extranjera de país sin señalamiento.</t>
        </is>
      </c>
      <c r="G489" s="264" t="inlineStr">
        <is>
          <t>Nacionalidad mexicana.</t>
        </is>
      </c>
      <c r="H489" s="444" t="inlineStr">
        <is>
          <t>campo</t>
        </is>
      </c>
    </row>
    <row r="490" ht="18.75" customHeight="1" s="225">
      <c r="A490" s="264">
        <f>B490&amp;"-"&amp;C490</f>
        <v/>
      </c>
      <c r="B490" s="442" t="inlineStr">
        <is>
          <t>XII - CORREDORES: Const. o modif. patrimonial</t>
        </is>
      </c>
      <c r="C490" s="443" t="n">
        <v>10</v>
      </c>
      <c r="D490" s="264" t="inlineStr">
        <is>
          <t>País y entidad de residencia</t>
        </is>
      </c>
      <c r="E490" s="264" t="inlineStr">
        <is>
          <t>Residencia en jurisdicción de régimen fiscal preferente o señalada por deficiencias, o domicilio no verificable.</t>
        </is>
      </c>
      <c r="F490" s="264" t="inlineStr">
        <is>
          <t>Residencia en el extranjero sin señalamiento, o en entidad federativa señalada en la ENR.</t>
        </is>
      </c>
      <c r="G490" s="264" t="inlineStr">
        <is>
          <t>Residencia en México, en entidad federativa sin señalamiento en la ENR.</t>
        </is>
      </c>
      <c r="H490" s="444" t="inlineStr">
        <is>
          <t>campo</t>
        </is>
      </c>
    </row>
    <row r="491" ht="18.75" customHeight="1" s="225">
      <c r="A491" s="264">
        <f>B491&amp;"-"&amp;C491</f>
        <v/>
      </c>
      <c r="B491" s="442" t="inlineStr">
        <is>
          <t>XII - CORREDORES: Const. o modif. patrimonial</t>
        </is>
      </c>
      <c r="C491" s="443" t="n">
        <v>11</v>
      </c>
      <c r="D491" s="264" t="inlineStr">
        <is>
          <t>Condición de Persona Políticamente Expuesta</t>
        </is>
      </c>
      <c r="E491" s="264" t="inlineStr">
        <is>
          <t>Persona Políticamente Expuesta extranjera, o nacional cuyo comportamiento transaccional no corresponde con sus ingresos y funciones.</t>
        </is>
      </c>
      <c r="F491" s="264" t="inlineStr">
        <is>
          <t>Persona Políticamente Expuesta nacional con comportamiento congruente, o familiar o allegado de una.</t>
        </is>
      </c>
      <c r="G491" s="264" t="inlineStr">
        <is>
          <t>Sin condición de Persona Políticamente Expuesta, con búsqueda documentada.</t>
        </is>
      </c>
      <c r="H491" s="444" t="inlineStr">
        <is>
          <t>campo</t>
        </is>
      </c>
    </row>
    <row r="492" ht="18.75" customHeight="1" s="225">
      <c r="A492" s="264">
        <f>B492&amp;"-"&amp;C492</f>
        <v/>
      </c>
      <c r="B492" s="442" t="inlineStr">
        <is>
          <t>XII - CORREDORES: Const. o modif. patrimonial</t>
        </is>
      </c>
      <c r="C492" s="443" t="n">
        <v>12</v>
      </c>
      <c r="D492" s="264" t="inlineStr">
        <is>
          <t>Resultado de la búsqueda en listas</t>
        </is>
      </c>
      <c r="E492" s="264" t="inlineStr">
        <is>
          <t>Coincidencia positiva en listas de personas bloqueadas o de sanciones, o búsqueda no realizada o sin constancia.</t>
        </is>
      </c>
      <c r="F492" s="264" t="inlineStr">
        <is>
          <t>Coincidencia descartada por homonimia acreditada, con constancia.</t>
        </is>
      </c>
      <c r="G492" s="264" t="inlineStr">
        <is>
          <t>Sin coincidencia, con constancia de la búsqueda y su fecha.</t>
        </is>
      </c>
      <c r="H492" s="444" t="inlineStr">
        <is>
          <t>campo</t>
        </is>
      </c>
    </row>
    <row r="493" ht="18.75" customHeight="1" s="225">
      <c r="A493" s="264">
        <f>B493&amp;"-"&amp;C493</f>
        <v/>
      </c>
      <c r="B493" s="442" t="inlineStr">
        <is>
          <t>XII - CORREDORES: Const. o modif. patrimonial</t>
        </is>
      </c>
      <c r="C493" s="443" t="n">
        <v>13</v>
      </c>
      <c r="D493" s="264" t="inlineStr">
        <is>
          <t>Profundidad de la cadena de control</t>
        </is>
      </c>
      <c r="E493" s="264" t="inlineStr">
        <is>
          <t>No se logra identificar al Beneficiario Controlador de el socio o accionista, o la cadena no es acreditable.</t>
        </is>
      </c>
      <c r="F493" s="264" t="inlineStr">
        <is>
          <t>El Beneficiario Controlador se identifica atravesando dos o más niveles societarios o fiduciarios.</t>
        </is>
      </c>
      <c r="G493" s="264" t="inlineStr">
        <is>
          <t>El Beneficiario Controlador se identifica en un solo nivel, o el socio o accionista es su propio beneficiario.</t>
        </is>
      </c>
      <c r="H493" s="444" t="inlineStr">
        <is>
          <t>calculado</t>
        </is>
      </c>
    </row>
    <row r="494" ht="18.75" customHeight="1" s="225">
      <c r="A494" s="264">
        <f>B494&amp;"-"&amp;C494</f>
        <v/>
      </c>
      <c r="B494" s="442" t="inlineStr">
        <is>
          <t>XII - CORREDORES: Const. o modif. patrimonial</t>
        </is>
      </c>
      <c r="C494" s="443" t="n">
        <v>14</v>
      </c>
      <c r="D494" s="264" t="inlineStr">
        <is>
          <t>País donde se realiza la operación</t>
        </is>
      </c>
      <c r="E494" s="264" t="inlineStr">
        <is>
          <t>La constitución o modificación patrimonial se pacta con o desde una jurisdicción de alto riesgo o no cooperante.</t>
        </is>
      </c>
      <c r="F494" s="264" t="inlineStr">
        <is>
          <t>La constitución o modificación patrimonial se pacta con una jurisdicción extranjera sin señalamiento.</t>
        </is>
      </c>
      <c r="G494" s="264" t="inlineStr">
        <is>
          <t>La constitución o modificación patrimonial se realiza íntegramente en México.</t>
        </is>
      </c>
      <c r="H494" s="444" t="inlineStr">
        <is>
          <t>campo</t>
        </is>
      </c>
    </row>
    <row r="495" ht="18.75" customHeight="1" s="225">
      <c r="A495" s="264">
        <f>B495&amp;"-"&amp;C495</f>
        <v/>
      </c>
      <c r="B495" s="442" t="inlineStr">
        <is>
          <t>XII - CORREDORES: Const. o modif. patrimonial</t>
        </is>
      </c>
      <c r="C495" s="443" t="n">
        <v>15</v>
      </c>
      <c r="D495" s="264" t="inlineStr">
        <is>
          <t>Entidad o municipio de la operación</t>
        </is>
      </c>
      <c r="E495" s="264" t="inlineStr">
        <is>
          <t>La constitución o modificación patrimonial ocurre en un municipio o zona identificada de alto riesgo.</t>
        </is>
      </c>
      <c r="F495" s="264" t="inlineStr">
        <is>
          <t>La constitución o modificación patrimonial ocurre en una entidad federativa con señalamiento en la ENR.</t>
        </is>
      </c>
      <c r="G495" s="264" t="inlineStr">
        <is>
          <t>La constitución o modificación patrimonial ocurre en una entidad federativa sin señalamiento en la ENR.</t>
        </is>
      </c>
      <c r="H495" s="444" t="inlineStr">
        <is>
          <t>campo</t>
        </is>
      </c>
    </row>
    <row r="496" ht="18.75" customHeight="1" s="225">
      <c r="A496" s="264">
        <f>B496&amp;"-"&amp;C496</f>
        <v/>
      </c>
      <c r="B496" s="442" t="inlineStr">
        <is>
          <t>XII - CORREDORES: Const. o modif. patrimonial</t>
        </is>
      </c>
      <c r="C496" s="443" t="n">
        <v>16</v>
      </c>
      <c r="D496" s="264" t="inlineStr">
        <is>
          <t>Vínculo con jurisdicción sancionada o de acción requerida</t>
        </is>
      </c>
      <c r="E496" s="264" t="inlineStr">
        <is>
          <t>Hay exposición directa a una jurisdicción sancionada, en conflicto armado o de acción requerida del GAFI.</t>
        </is>
      </c>
      <c r="F496" s="264" t="inlineStr">
        <is>
          <t>La exposición es indirecta: una contraparte o la ruta de los fondos toca esa jurisdicción.</t>
        </is>
      </c>
      <c r="G496" s="264" t="inlineStr">
        <is>
          <t>Sin exposición a jurisdicciones sancionadas, en conflicto ni de acción requerida.</t>
        </is>
      </c>
      <c r="H496" s="444" t="inlineStr">
        <is>
          <t>campo</t>
        </is>
      </c>
    </row>
    <row r="497" ht="18.75" customHeight="1" s="225">
      <c r="A497" s="264">
        <f>B497&amp;"-"&amp;C497</f>
        <v/>
      </c>
      <c r="B497" s="442" t="inlineStr">
        <is>
          <t>XII - CORREDORES: Const. o modif. patrimonial</t>
        </is>
      </c>
      <c r="C497" s="443" t="n">
        <v>17</v>
      </c>
      <c r="D497" s="264" t="inlineStr">
        <is>
          <t>Coincidencia entre domicilio y lugar de la operación</t>
        </is>
      </c>
      <c r="E497" s="264" t="inlineStr">
        <is>
          <t>El domicilio de el socio o accionista y el lugar de la constitución o modificación patrimonial no coinciden, y no hay explicación documentada.</t>
        </is>
      </c>
      <c r="F497" s="264" t="inlineStr">
        <is>
          <t>No coinciden, pero consta por escrito la razón de operar en ese lugar.</t>
        </is>
      </c>
      <c r="G497" s="264" t="inlineStr">
        <is>
          <t>El domicilio de el socio o accionista y el lugar de la constitución o modificación patrimonial coinciden.</t>
        </is>
      </c>
      <c r="H497" s="444" t="inlineStr">
        <is>
          <t>calculado</t>
        </is>
      </c>
    </row>
    <row r="498" ht="18.75" customHeight="1" s="225">
      <c r="A498" s="264">
        <f>B498&amp;"-"&amp;C498</f>
        <v/>
      </c>
      <c r="B498" s="442" t="inlineStr">
        <is>
          <t>XII - CORREDORES: Const. o modif. patrimonial</t>
        </is>
      </c>
      <c r="C498" s="443" t="n">
        <v>18</v>
      </c>
      <c r="D498" s="264" t="inlineStr">
        <is>
          <t>Instrumento con que se paga</t>
        </is>
      </c>
      <c r="E498" s="264" t="inlineStr">
        <is>
          <t>Efectivo por encima de tu umbral interno, instrumento al portador, o pago en especie.</t>
        </is>
      </c>
      <c r="F498" s="264" t="inlineStr">
        <is>
          <t>Pago mixto, con un componente en efectivo por debajo de tu umbral interno.</t>
        </is>
      </c>
      <c r="G498" s="264" t="inlineStr">
        <is>
          <t>Transferencia electrónica o cheque nominativo desde una cuenta a nombre de el socio o accionista.</t>
        </is>
      </c>
      <c r="H498" s="444" t="inlineStr">
        <is>
          <t>campo</t>
        </is>
      </c>
    </row>
    <row r="499" ht="18.75" customHeight="1" s="225">
      <c r="A499" s="264">
        <f>B499&amp;"-"&amp;C499</f>
        <v/>
      </c>
      <c r="B499" s="442" t="inlineStr">
        <is>
          <t>XII - CORREDORES: Const. o modif. patrimonial</t>
        </is>
      </c>
      <c r="C499" s="443" t="n">
        <v>19</v>
      </c>
      <c r="D499" s="264" t="inlineStr">
        <is>
          <t>Moneda de la operación</t>
        </is>
      </c>
      <c r="E499" s="264" t="inlineStr">
        <is>
          <t>Divisa distinta del dólar estadounidense y del euro, o activo virtual.</t>
        </is>
      </c>
      <c r="F499" s="264" t="inlineStr">
        <is>
          <t>Dólar estadounidense o euro, con soporte documental.</t>
        </is>
      </c>
      <c r="G499" s="264" t="inlineStr">
        <is>
          <t>Peso mexicano.</t>
        </is>
      </c>
      <c r="H499" s="444" t="inlineStr">
        <is>
          <t>campo</t>
        </is>
      </c>
    </row>
    <row r="500" ht="18.75" customHeight="1" s="225">
      <c r="A500" s="264">
        <f>B500&amp;"-"&amp;C500</f>
        <v/>
      </c>
      <c r="B500" s="442" t="inlineStr">
        <is>
          <t>XII - CORREDORES: Const. o modif. patrimonial</t>
        </is>
      </c>
      <c r="C500" s="443" t="n">
        <v>20</v>
      </c>
      <c r="D500" s="264" t="inlineStr">
        <is>
          <t>Monto frente al umbral de tu fracción</t>
        </is>
      </c>
      <c r="E500" s="264" t="inlineStr">
        <is>
          <t>La constitución o modificación patrimonial iguala o supera el umbral de Aviso de tu fracción del artículo 17.</t>
        </is>
      </c>
      <c r="F500" s="264" t="inlineStr">
        <is>
          <t>La constitución o modificación patrimonial se sitúa entre el umbral de identificación y el de Aviso.</t>
        </is>
      </c>
      <c r="G500" s="264" t="inlineStr">
        <is>
          <t>La constitución o modificación patrimonial queda por debajo del umbral de identificación.</t>
        </is>
      </c>
      <c r="H500" s="444" t="inlineStr">
        <is>
          <t>calculado</t>
        </is>
      </c>
    </row>
    <row r="501" ht="18.75" customHeight="1" s="225">
      <c r="A501" s="264">
        <f>B501&amp;"-"&amp;C501</f>
        <v/>
      </c>
      <c r="B501" s="442" t="inlineStr">
        <is>
          <t>XII - CORREDORES: Const. o modif. patrimonial</t>
        </is>
      </c>
      <c r="C501" s="443" t="n">
        <v>21</v>
      </c>
      <c r="D501" s="264" t="inlineStr">
        <is>
          <t>Número y ritmo de operaciones en el periodo</t>
        </is>
      </c>
      <c r="E501" s="264" t="inlineStr">
        <is>
          <t>El socio o accionista realiza cinco o más operaciones al año, o varias en intervalos cortos y regulares.</t>
        </is>
      </c>
      <c r="F501" s="264" t="inlineStr">
        <is>
          <t>El socio o accionista realiza entre dos y cuatro operaciones al año.</t>
        </is>
      </c>
      <c r="G501" s="264" t="inlineStr">
        <is>
          <t>El socio o accionista realiza una sola operación en el periodo.</t>
        </is>
      </c>
      <c r="H501" s="444" t="inlineStr">
        <is>
          <t>calculado</t>
        </is>
      </c>
    </row>
    <row r="502" ht="18.75" customHeight="1" s="225">
      <c r="A502" s="264">
        <f>B502&amp;"-"&amp;C502</f>
        <v/>
      </c>
      <c r="B502" s="442" t="inlineStr">
        <is>
          <t>XII - CORREDORES: Const. o modif. patrimonial</t>
        </is>
      </c>
      <c r="C502" s="443" t="n">
        <v>22</v>
      </c>
      <c r="D502" s="264" t="inlineStr">
        <is>
          <t>Canal: certeza de identificación del Cliente</t>
        </is>
      </c>
      <c r="E502" s="264" t="inlineStr">
        <is>
          <t>La operación llega por un gestor, plataforma o intermediario no acreditado: nadie responde por la identificación de el socio o accionista, y quien opera puede no ser quien dice ser.</t>
        </is>
      </c>
      <c r="F502" s="264" t="inlineStr">
        <is>
          <t>Se identifica a el socio o accionista de forma remota con verificación documental, o a través de un promotor o representante propio con contrato y responsable señalado.</t>
        </is>
      </c>
      <c r="G502" s="264" t="inlineStr">
        <is>
          <t>El socio o accionista comparece de forma directa, o se le identifica en remoto con biometría y prueba de vida.</t>
        </is>
      </c>
      <c r="H502" s="444" t="inlineStr">
        <is>
          <t>campo</t>
        </is>
      </c>
    </row>
    <row r="503" ht="18.75" customHeight="1" s="225">
      <c r="A503" s="264">
        <f>B503&amp;"-"&amp;C503</f>
        <v/>
      </c>
      <c r="B503" s="442" t="inlineStr">
        <is>
          <t>XII - CORREDORES: Const. o modif. patrimonial</t>
        </is>
      </c>
      <c r="C503" s="443" t="n">
        <v>23</v>
      </c>
      <c r="D503" s="264" t="inlineStr">
        <is>
          <t>Acreditación del origen de los recursos</t>
        </is>
      </c>
      <c r="E503" s="264" t="inlineStr">
        <is>
          <t>El origen de los recursos se declara sin soporte documental, o no se manifiesta.</t>
        </is>
      </c>
      <c r="F503" s="264" t="inlineStr">
        <is>
          <t>El origen se declara y se acredita sólo de forma parcial.</t>
        </is>
      </c>
      <c r="G503" s="264" t="inlineStr">
        <is>
          <t>El origen se acredita con documentación verificable.</t>
        </is>
      </c>
      <c r="H503" s="444" t="inlineStr">
        <is>
          <t>bandera</t>
        </is>
      </c>
    </row>
    <row r="504" ht="18.75" customHeight="1" s="225">
      <c r="A504" s="264">
        <f>B504&amp;"-"&amp;C504</f>
        <v/>
      </c>
      <c r="B504" s="442" t="inlineStr">
        <is>
          <t>XII - CORREDORES: Const. o modif. patrimonial</t>
        </is>
      </c>
      <c r="C504" s="443" t="n">
        <v>24</v>
      </c>
      <c r="D504" s="264" t="inlineStr">
        <is>
          <t>Acreditación del destino de los recursos o del bien</t>
        </is>
      </c>
      <c r="E504" s="264" t="inlineStr">
        <is>
          <t>El destino no se manifiesta, o los recursos o el capital social pasan a un tercero no relacionado con el socio o accionista.</t>
        </is>
      </c>
      <c r="F504" s="264" t="inlineStr">
        <is>
          <t>El destino se declara y es verificable.</t>
        </is>
      </c>
      <c r="G504" s="264" t="inlineStr">
        <is>
          <t>El destino es el capital social mismo, y queda registrado en la operación.</t>
        </is>
      </c>
      <c r="H504" s="444" t="inlineStr">
        <is>
          <t>bandera</t>
        </is>
      </c>
    </row>
    <row r="505" ht="18.75" customHeight="1" s="225">
      <c r="A505" s="264">
        <f>B505&amp;"-"&amp;C505</f>
        <v/>
      </c>
      <c r="B505" s="442" t="inlineStr">
        <is>
          <t>XII - CORREDORES: Const. o modif. patrimonial</t>
        </is>
      </c>
      <c r="C505" s="443" t="n">
        <v>25</v>
      </c>
      <c r="D505" s="264" t="inlineStr">
        <is>
          <t>Combinación de canal e instrumento idónea para el financiamiento al terrorismo</t>
        </is>
      </c>
      <c r="E505" s="264" t="inlineStr">
        <is>
          <t>La constitución o modificación patrimonial combina contratación a distancia sin verificación reforzada con pagos en efectivo o instrumentos al portador.</t>
        </is>
      </c>
      <c r="F505" s="264" t="inlineStr">
        <is>
          <t>Concurre uno solo de los dos: o la contratación remota sin verificación reforzada, o el pago en instrumento no bancarizado.</t>
        </is>
      </c>
      <c r="G505" s="264" t="inlineStr">
        <is>
          <t>Ni la forma de contratar ni la de pagar permiten mover valor de forma anónima.</t>
        </is>
      </c>
      <c r="H505" s="444" t="inlineStr">
        <is>
          <t>bandera</t>
        </is>
      </c>
    </row>
    <row r="506" ht="18.75" customHeight="1" s="225">
      <c r="A506" s="264">
        <f>B506&amp;"-"&amp;C506</f>
        <v/>
      </c>
      <c r="B506" s="442" t="inlineStr">
        <is>
          <t>XII - CORREDORES: Modif. o cesión fideicomiso</t>
        </is>
      </c>
      <c r="C506" s="443" t="n">
        <v>1</v>
      </c>
      <c r="D506" s="264" t="inlineStr">
        <is>
          <t>Valor unitario de la operación</t>
        </is>
      </c>
      <c r="E506" s="264" t="inlineStr">
        <is>
          <t>Los derechos fideicomisarios tiene un valor unitario muy por encima del ticket promedio de tu operación de doce meses.</t>
        </is>
      </c>
      <c r="F506" s="264" t="inlineStr">
        <is>
          <t>Los derechos fideicomisarios tiene un valor unitario dentro del rango habitual de tu operación.</t>
        </is>
      </c>
      <c r="G506" s="264" t="inlineStr">
        <is>
          <t>Los derechos fideicomisarios tiene un valor unitario por debajo de tu ticket promedio.</t>
        </is>
      </c>
      <c r="H506" s="444" t="inlineStr">
        <is>
          <t>calculado</t>
        </is>
      </c>
    </row>
    <row r="507" ht="18.75" customHeight="1" s="225">
      <c r="A507" s="264">
        <f>B507&amp;"-"&amp;C507</f>
        <v/>
      </c>
      <c r="B507" s="442" t="inlineStr">
        <is>
          <t>XII - CORREDORES: Modif. o cesión fideicomiso</t>
        </is>
      </c>
      <c r="C507" s="443" t="n">
        <v>2</v>
      </c>
      <c r="D507" s="264" t="inlineStr">
        <is>
          <t>Liquidez: facilidad de convertir en dinero</t>
        </is>
      </c>
      <c r="E507" s="264" t="inlineStr">
        <is>
          <t>Los derechos fideicomisarios puede revenderse o cederse de inmediato y prácticamente a su valor íntegro.</t>
        </is>
      </c>
      <c r="F507" s="264" t="inlineStr">
        <is>
          <t>Los derechos fideicomisarios puede revenderse, pero con trámite, plazo o pérdida de valor apreciable.</t>
        </is>
      </c>
      <c r="G507" s="264" t="inlineStr">
        <is>
          <t>Los derechos fideicomisarios es difícil de revender: exige formalidades o registro, o pierde valor de forma significativa.</t>
        </is>
      </c>
      <c r="H507" s="444" t="inlineStr">
        <is>
          <t>bandera</t>
        </is>
      </c>
    </row>
    <row r="508" ht="18.75" customHeight="1" s="225">
      <c r="A508" s="264">
        <f>B508&amp;"-"&amp;C508</f>
        <v/>
      </c>
      <c r="B508" s="442" t="inlineStr">
        <is>
          <t>XII - CORREDORES: Modif. o cesión fideicomiso</t>
        </is>
      </c>
      <c r="C508" s="443" t="n">
        <v>3</v>
      </c>
      <c r="D508" s="264" t="inlineStr">
        <is>
          <t>Anonimato: si el beneficiario queda a la vista</t>
        </is>
      </c>
      <c r="E508" s="264" t="inlineStr">
        <is>
          <t>La modificación o cesión del fideicomiso admite que quien aparece no sea quien recibe el beneficio, sin que quede registro de quién es el beneficiario final.</t>
        </is>
      </c>
      <c r="F508" s="264" t="inlineStr">
        <is>
          <t>Se identifica a el fideicomitente o cesionario, pero el beneficiario final se declara sin documento que lo respalde.</t>
        </is>
      </c>
      <c r="G508" s="264" t="inlineStr">
        <is>
          <t>El fideicomitente o cesionario y el beneficiario final coinciden, y ambos constan en el expediente.</t>
        </is>
      </c>
      <c r="H508" s="444" t="inlineStr">
        <is>
          <t>bandera</t>
        </is>
      </c>
    </row>
    <row r="509" ht="18.75" customHeight="1" s="225">
      <c r="A509" s="264">
        <f>B509&amp;"-"&amp;C509</f>
        <v/>
      </c>
      <c r="B509" s="442" t="inlineStr">
        <is>
          <t>XII - CORREDORES: Modif. o cesión fideicomiso</t>
        </is>
      </c>
      <c r="C509" s="443" t="n">
        <v>4</v>
      </c>
      <c r="D509" s="264" t="inlineStr">
        <is>
          <t>Ocultamiento de valor en el precio</t>
        </is>
      </c>
      <c r="E509" s="264" t="inlineStr">
        <is>
          <t>La modificación o cesión del fideicomiso admite sobrevaluar, subvaluar o fraccionar el precio sin que la contabilidad lo refleje.</t>
        </is>
      </c>
      <c r="F509" s="264" t="inlineStr">
        <is>
          <t>El precio se aparta del valor de referencia, pero existe explicación documentada de la diferencia.</t>
        </is>
      </c>
      <c r="G509" s="264" t="inlineStr">
        <is>
          <t>El precio corresponde al valor de referencia y queda registrado en la contabilidad.</t>
        </is>
      </c>
      <c r="H509" s="444" t="inlineStr">
        <is>
          <t>bandera</t>
        </is>
      </c>
    </row>
    <row r="510" ht="18.75" customHeight="1" s="225">
      <c r="A510" s="264">
        <f>B510&amp;"-"&amp;C510</f>
        <v/>
      </c>
      <c r="B510" s="442" t="inlineStr">
        <is>
          <t>XII - CORREDORES: Modif. o cesión fideicomiso</t>
        </is>
      </c>
      <c r="C510" s="443" t="n">
        <v>5</v>
      </c>
      <c r="D510" s="264" t="inlineStr">
        <is>
          <t>Exposición a personas señaladas por terrorismo</t>
        </is>
      </c>
      <c r="E510" s="264" t="inlineStr">
        <is>
          <t>El fideicomitente o cesionario, su beneficiario o su contraparte aparece en listas de sanciones o de organizaciones terroristas.</t>
        </is>
      </c>
      <c r="F510" s="264" t="inlineStr">
        <is>
          <t>Existe un vínculo indirecto —contraparte, domicilio o ruta de los fondos— con una jurisdicción en conflicto o de acción requerida.</t>
        </is>
      </c>
      <c r="G510" s="264" t="inlineStr">
        <is>
          <t>Sin coincidencias ni vínculos con esas listas ni con jurisdicciones en conflicto, con búsqueda documentada.</t>
        </is>
      </c>
      <c r="H510" s="444" t="inlineStr">
        <is>
          <t>campo</t>
        </is>
      </c>
    </row>
    <row r="511" ht="18.75" customHeight="1" s="225">
      <c r="A511" s="264">
        <f>B511&amp;"-"&amp;C511</f>
        <v/>
      </c>
      <c r="B511" s="442" t="inlineStr">
        <is>
          <t>XII - CORREDORES: Modif. o cesión fideicomiso</t>
        </is>
      </c>
      <c r="C511" s="443" t="n">
        <v>6</v>
      </c>
      <c r="D511" s="264" t="inlineStr">
        <is>
          <t>Tipo de persona</t>
        </is>
      </c>
      <c r="E511" s="264" t="inlineStr">
        <is>
          <t>El fideicomitente o cesionario es un fideicomiso u otro vehículo sin personalidad jurídica propia. No hay un titular único: la figura permite que quien aporta y quien adquiere los derechos sean personas distintas y que ninguna aparezca en el contrato.</t>
        </is>
      </c>
      <c r="F511" s="264" t="inlineStr">
        <is>
          <t>El fideicomitente o cesionario es persona moral. La voluntad se forma en órganos y la propiedad está en socios, así que hay que llegar al Beneficiario Controlador para saber quién está realmente detrás.</t>
        </is>
      </c>
      <c r="G511" s="264" t="inlineStr">
        <is>
          <t>El fideicomitente o cesionario es persona física. Coincide quien aporta y quien adquiere los derechos, y la identificación es directa contra un solo expediente.</t>
        </is>
      </c>
      <c r="H511" s="444" t="inlineStr">
        <is>
          <t>campo</t>
        </is>
      </c>
    </row>
    <row r="512" ht="18.75" customHeight="1" s="225">
      <c r="A512" s="264">
        <f>B512&amp;"-"&amp;C512</f>
        <v/>
      </c>
      <c r="B512" s="442" t="inlineStr">
        <is>
          <t>XII - CORREDORES: Modif. o cesión fideicomiso</t>
        </is>
      </c>
      <c r="C512" s="443" t="n">
        <v>7</v>
      </c>
      <c r="D512" s="264" t="inlineStr">
        <is>
          <t>Antigüedad del Cliente</t>
        </is>
      </c>
      <c r="E512" s="264" t="inlineStr">
        <is>
          <t>Persona moral constituida hace menos de dos años, o persona física menor de veintitrés años.</t>
        </is>
      </c>
      <c r="F512" s="264" t="inlineStr">
        <is>
          <t>Persona moral constituida hace entre dos y cinco años.</t>
        </is>
      </c>
      <c r="G512" s="264" t="inlineStr">
        <is>
          <t>Persona moral con más de cinco años de constituida, o persona física de veintitrés años en adelante.</t>
        </is>
      </c>
      <c r="H512" s="444" t="inlineStr">
        <is>
          <t>campo</t>
        </is>
      </c>
    </row>
    <row r="513" ht="18.75" customHeight="1" s="225">
      <c r="A513" s="264">
        <f>B513&amp;"-"&amp;C513</f>
        <v/>
      </c>
      <c r="B513" s="442" t="inlineStr">
        <is>
          <t>XII - CORREDORES: Modif. o cesión fideicomiso</t>
        </is>
      </c>
      <c r="C513" s="443" t="n">
        <v>8</v>
      </c>
      <c r="D513" s="264" t="inlineStr">
        <is>
          <t>Giro o actividad declarada</t>
        </is>
      </c>
      <c r="E513" s="264" t="inlineStr">
        <is>
          <t>El giro que declara el fideicomitente o cesionario es a su vez una Actividad Vulnerable del artículo 17, o no se acredita con documento alguno.</t>
        </is>
      </c>
      <c r="F513" s="264" t="inlineStr">
        <is>
          <t>El giro se declara y se acredita sólo de forma parcial.</t>
        </is>
      </c>
      <c r="G513" s="264" t="inlineStr">
        <is>
          <t>El giro se acredita con documento: constancia de situación fiscal, acta constitutiva o comprobante de empleo.</t>
        </is>
      </c>
      <c r="H513" s="444" t="inlineStr">
        <is>
          <t>campo</t>
        </is>
      </c>
    </row>
    <row r="514" ht="18.75" customHeight="1" s="225">
      <c r="A514" s="264">
        <f>B514&amp;"-"&amp;C514</f>
        <v/>
      </c>
      <c r="B514" s="442" t="inlineStr">
        <is>
          <t>XII - CORREDORES: Modif. o cesión fideicomiso</t>
        </is>
      </c>
      <c r="C514" s="443" t="n">
        <v>9</v>
      </c>
      <c r="D514" s="264" t="inlineStr">
        <is>
          <t>Nacionalidad</t>
        </is>
      </c>
      <c r="E514" s="264" t="inlineStr">
        <is>
          <t>Nacionalidad de país o jurisdicción señalada por la UIF, o no determinada.</t>
        </is>
      </c>
      <c r="F514" s="264" t="inlineStr">
        <is>
          <t>Nacionalidad extranjera de país sin señalamiento.</t>
        </is>
      </c>
      <c r="G514" s="264" t="inlineStr">
        <is>
          <t>Nacionalidad mexicana.</t>
        </is>
      </c>
      <c r="H514" s="444" t="inlineStr">
        <is>
          <t>campo</t>
        </is>
      </c>
    </row>
    <row r="515" ht="18.75" customHeight="1" s="225">
      <c r="A515" s="264">
        <f>B515&amp;"-"&amp;C515</f>
        <v/>
      </c>
      <c r="B515" s="442" t="inlineStr">
        <is>
          <t>XII - CORREDORES: Modif. o cesión fideicomiso</t>
        </is>
      </c>
      <c r="C515" s="443" t="n">
        <v>10</v>
      </c>
      <c r="D515" s="264" t="inlineStr">
        <is>
          <t>País y entidad de residencia</t>
        </is>
      </c>
      <c r="E515" s="264" t="inlineStr">
        <is>
          <t>Residencia en jurisdicción de régimen fiscal preferente o señalada por deficiencias, o domicilio no verificable.</t>
        </is>
      </c>
      <c r="F515" s="264" t="inlineStr">
        <is>
          <t>Residencia en el extranjero sin señalamiento, o en entidad federativa señalada en la ENR.</t>
        </is>
      </c>
      <c r="G515" s="264" t="inlineStr">
        <is>
          <t>Residencia en México, en entidad federativa sin señalamiento en la ENR.</t>
        </is>
      </c>
      <c r="H515" s="444" t="inlineStr">
        <is>
          <t>campo</t>
        </is>
      </c>
    </row>
    <row r="516" ht="18.75" customHeight="1" s="225">
      <c r="A516" s="264">
        <f>B516&amp;"-"&amp;C516</f>
        <v/>
      </c>
      <c r="B516" s="442" t="inlineStr">
        <is>
          <t>XII - CORREDORES: Modif. o cesión fideicomiso</t>
        </is>
      </c>
      <c r="C516" s="443" t="n">
        <v>11</v>
      </c>
      <c r="D516" s="264" t="inlineStr">
        <is>
          <t>Condición de Persona Políticamente Expuesta</t>
        </is>
      </c>
      <c r="E516" s="264" t="inlineStr">
        <is>
          <t>Persona Políticamente Expuesta extranjera, o nacional cuyo comportamiento transaccional no corresponde con sus ingresos y funciones.</t>
        </is>
      </c>
      <c r="F516" s="264" t="inlineStr">
        <is>
          <t>Persona Políticamente Expuesta nacional con comportamiento congruente, o familiar o allegado de una.</t>
        </is>
      </c>
      <c r="G516" s="264" t="inlineStr">
        <is>
          <t>Sin condición de Persona Políticamente Expuesta, con búsqueda documentada.</t>
        </is>
      </c>
      <c r="H516" s="444" t="inlineStr">
        <is>
          <t>campo</t>
        </is>
      </c>
    </row>
    <row r="517" ht="18.75" customHeight="1" s="225">
      <c r="A517" s="264">
        <f>B517&amp;"-"&amp;C517</f>
        <v/>
      </c>
      <c r="B517" s="442" t="inlineStr">
        <is>
          <t>XII - CORREDORES: Modif. o cesión fideicomiso</t>
        </is>
      </c>
      <c r="C517" s="443" t="n">
        <v>12</v>
      </c>
      <c r="D517" s="264" t="inlineStr">
        <is>
          <t>Resultado de la búsqueda en listas</t>
        </is>
      </c>
      <c r="E517" s="264" t="inlineStr">
        <is>
          <t>Coincidencia positiva en listas de personas bloqueadas o de sanciones, o búsqueda no realizada o sin constancia.</t>
        </is>
      </c>
      <c r="F517" s="264" t="inlineStr">
        <is>
          <t>Coincidencia descartada por homonimia acreditada, con constancia.</t>
        </is>
      </c>
      <c r="G517" s="264" t="inlineStr">
        <is>
          <t>Sin coincidencia, con constancia de la búsqueda y su fecha.</t>
        </is>
      </c>
      <c r="H517" s="444" t="inlineStr">
        <is>
          <t>campo</t>
        </is>
      </c>
    </row>
    <row r="518" ht="18.75" customHeight="1" s="225">
      <c r="A518" s="264">
        <f>B518&amp;"-"&amp;C518</f>
        <v/>
      </c>
      <c r="B518" s="442" t="inlineStr">
        <is>
          <t>XII - CORREDORES: Modif. o cesión fideicomiso</t>
        </is>
      </c>
      <c r="C518" s="443" t="n">
        <v>13</v>
      </c>
      <c r="D518" s="264" t="inlineStr">
        <is>
          <t>Profundidad de la cadena de control</t>
        </is>
      </c>
      <c r="E518" s="264" t="inlineStr">
        <is>
          <t>No se logra identificar al Beneficiario Controlador de el fideicomitente o cesionario, o la cadena no es acreditable.</t>
        </is>
      </c>
      <c r="F518" s="264" t="inlineStr">
        <is>
          <t>El Beneficiario Controlador se identifica atravesando dos o más niveles societarios o fiduciarios.</t>
        </is>
      </c>
      <c r="G518" s="264" t="inlineStr">
        <is>
          <t>El Beneficiario Controlador se identifica en un solo nivel, o el fideicomitente o cesionario es su propio beneficiario.</t>
        </is>
      </c>
      <c r="H518" s="444" t="inlineStr">
        <is>
          <t>calculado</t>
        </is>
      </c>
    </row>
    <row r="519" ht="18.75" customHeight="1" s="225">
      <c r="A519" s="264">
        <f>B519&amp;"-"&amp;C519</f>
        <v/>
      </c>
      <c r="B519" s="442" t="inlineStr">
        <is>
          <t>XII - CORREDORES: Modif. o cesión fideicomiso</t>
        </is>
      </c>
      <c r="C519" s="443" t="n">
        <v>14</v>
      </c>
      <c r="D519" s="264" t="inlineStr">
        <is>
          <t>País donde se realiza la operación</t>
        </is>
      </c>
      <c r="E519" s="264" t="inlineStr">
        <is>
          <t>La modificación o cesión del fideicomiso se pacta con o desde una jurisdicción de alto riesgo o no cooperante.</t>
        </is>
      </c>
      <c r="F519" s="264" t="inlineStr">
        <is>
          <t>La modificación o cesión del fideicomiso se pacta con una jurisdicción extranjera sin señalamiento.</t>
        </is>
      </c>
      <c r="G519" s="264" t="inlineStr">
        <is>
          <t>La modificación o cesión del fideicomiso se realiza íntegramente en México.</t>
        </is>
      </c>
      <c r="H519" s="444" t="inlineStr">
        <is>
          <t>campo</t>
        </is>
      </c>
    </row>
    <row r="520" ht="18.75" customHeight="1" s="225">
      <c r="A520" s="264">
        <f>B520&amp;"-"&amp;C520</f>
        <v/>
      </c>
      <c r="B520" s="442" t="inlineStr">
        <is>
          <t>XII - CORREDORES: Modif. o cesión fideicomiso</t>
        </is>
      </c>
      <c r="C520" s="443" t="n">
        <v>15</v>
      </c>
      <c r="D520" s="264" t="inlineStr">
        <is>
          <t>Entidad o municipio de la operación</t>
        </is>
      </c>
      <c r="E520" s="264" t="inlineStr">
        <is>
          <t>La modificación o cesión del fideicomiso ocurre en un municipio o zona identificada de alto riesgo.</t>
        </is>
      </c>
      <c r="F520" s="264" t="inlineStr">
        <is>
          <t>La modificación o cesión del fideicomiso ocurre en una entidad federativa con señalamiento en la ENR.</t>
        </is>
      </c>
      <c r="G520" s="264" t="inlineStr">
        <is>
          <t>La modificación o cesión del fideicomiso ocurre en una entidad federativa sin señalamiento en la ENR.</t>
        </is>
      </c>
      <c r="H520" s="444" t="inlineStr">
        <is>
          <t>campo</t>
        </is>
      </c>
    </row>
    <row r="521" ht="18.75" customHeight="1" s="225">
      <c r="A521" s="264">
        <f>B521&amp;"-"&amp;C521</f>
        <v/>
      </c>
      <c r="B521" s="442" t="inlineStr">
        <is>
          <t>XII - CORREDORES: Modif. o cesión fideicomiso</t>
        </is>
      </c>
      <c r="C521" s="443" t="n">
        <v>16</v>
      </c>
      <c r="D521" s="264" t="inlineStr">
        <is>
          <t>Vínculo con jurisdicción sancionada o de acción requerida</t>
        </is>
      </c>
      <c r="E521" s="264" t="inlineStr">
        <is>
          <t>Hay exposición directa a una jurisdicción sancionada, en conflicto armado o de acción requerida del GAFI.</t>
        </is>
      </c>
      <c r="F521" s="264" t="inlineStr">
        <is>
          <t>La exposición es indirecta: una contraparte o la ruta de los fondos toca esa jurisdicción.</t>
        </is>
      </c>
      <c r="G521" s="264" t="inlineStr">
        <is>
          <t>Sin exposición a jurisdicciones sancionadas, en conflicto ni de acción requerida.</t>
        </is>
      </c>
      <c r="H521" s="444" t="inlineStr">
        <is>
          <t>campo</t>
        </is>
      </c>
    </row>
    <row r="522" ht="18.75" customHeight="1" s="225">
      <c r="A522" s="264">
        <f>B522&amp;"-"&amp;C522</f>
        <v/>
      </c>
      <c r="B522" s="442" t="inlineStr">
        <is>
          <t>XII - CORREDORES: Modif. o cesión fideicomiso</t>
        </is>
      </c>
      <c r="C522" s="443" t="n">
        <v>17</v>
      </c>
      <c r="D522" s="264" t="inlineStr">
        <is>
          <t>Coincidencia entre domicilio y lugar de la operación</t>
        </is>
      </c>
      <c r="E522" s="264" t="inlineStr">
        <is>
          <t>El domicilio de el fideicomitente o cesionario y el lugar de la modificación o cesión del fideicomiso no coinciden, y no hay explicación documentada.</t>
        </is>
      </c>
      <c r="F522" s="264" t="inlineStr">
        <is>
          <t>No coinciden, pero consta por escrito la razón de operar en ese lugar.</t>
        </is>
      </c>
      <c r="G522" s="264" t="inlineStr">
        <is>
          <t>El domicilio de el fideicomitente o cesionario y el lugar de la modificación o cesión del fideicomiso coinciden.</t>
        </is>
      </c>
      <c r="H522" s="444" t="inlineStr">
        <is>
          <t>calculado</t>
        </is>
      </c>
    </row>
    <row r="523" ht="18.75" customHeight="1" s="225">
      <c r="A523" s="264">
        <f>B523&amp;"-"&amp;C523</f>
        <v/>
      </c>
      <c r="B523" s="442" t="inlineStr">
        <is>
          <t>XII - CORREDORES: Modif. o cesión fideicomiso</t>
        </is>
      </c>
      <c r="C523" s="443" t="n">
        <v>18</v>
      </c>
      <c r="D523" s="264" t="inlineStr">
        <is>
          <t>Instrumento con que se paga</t>
        </is>
      </c>
      <c r="E523" s="264" t="inlineStr">
        <is>
          <t>Efectivo por encima de tu umbral interno, instrumento al portador, o pago en especie.</t>
        </is>
      </c>
      <c r="F523" s="264" t="inlineStr">
        <is>
          <t>Pago mixto, con un componente en efectivo por debajo de tu umbral interno.</t>
        </is>
      </c>
      <c r="G523" s="264" t="inlineStr">
        <is>
          <t>Transferencia electrónica o cheque nominativo desde una cuenta a nombre de el fideicomitente o cesionario.</t>
        </is>
      </c>
      <c r="H523" s="444" t="inlineStr">
        <is>
          <t>campo</t>
        </is>
      </c>
    </row>
    <row r="524" ht="18.75" customHeight="1" s="225">
      <c r="A524" s="264">
        <f>B524&amp;"-"&amp;C524</f>
        <v/>
      </c>
      <c r="B524" s="442" t="inlineStr">
        <is>
          <t>XII - CORREDORES: Modif. o cesión fideicomiso</t>
        </is>
      </c>
      <c r="C524" s="443" t="n">
        <v>19</v>
      </c>
      <c r="D524" s="264" t="inlineStr">
        <is>
          <t>Moneda de la operación</t>
        </is>
      </c>
      <c r="E524" s="264" t="inlineStr">
        <is>
          <t>Divisa distinta del dólar estadounidense y del euro, o activo virtual.</t>
        </is>
      </c>
      <c r="F524" s="264" t="inlineStr">
        <is>
          <t>Dólar estadounidense o euro, con soporte documental.</t>
        </is>
      </c>
      <c r="G524" s="264" t="inlineStr">
        <is>
          <t>Peso mexicano.</t>
        </is>
      </c>
      <c r="H524" s="444" t="inlineStr">
        <is>
          <t>campo</t>
        </is>
      </c>
    </row>
    <row r="525" ht="18.75" customHeight="1" s="225">
      <c r="A525" s="264">
        <f>B525&amp;"-"&amp;C525</f>
        <v/>
      </c>
      <c r="B525" s="442" t="inlineStr">
        <is>
          <t>XII - CORREDORES: Modif. o cesión fideicomiso</t>
        </is>
      </c>
      <c r="C525" s="443" t="n">
        <v>20</v>
      </c>
      <c r="D525" s="264" t="inlineStr">
        <is>
          <t>Monto frente al umbral de tu fracción</t>
        </is>
      </c>
      <c r="E525" s="264" t="inlineStr">
        <is>
          <t>La modificación o cesión del fideicomiso iguala o supera el umbral de Aviso de tu fracción del artículo 17.</t>
        </is>
      </c>
      <c r="F525" s="264" t="inlineStr">
        <is>
          <t>La modificación o cesión del fideicomiso se sitúa entre el umbral de identificación y el de Aviso.</t>
        </is>
      </c>
      <c r="G525" s="264" t="inlineStr">
        <is>
          <t>La modificación o cesión del fideicomiso queda por debajo del umbral de identificación.</t>
        </is>
      </c>
      <c r="H525" s="444" t="inlineStr">
        <is>
          <t>calculado</t>
        </is>
      </c>
    </row>
    <row r="526" ht="18.75" customHeight="1" s="225">
      <c r="A526" s="264">
        <f>B526&amp;"-"&amp;C526</f>
        <v/>
      </c>
      <c r="B526" s="442" t="inlineStr">
        <is>
          <t>XII - CORREDORES: Modif. o cesión fideicomiso</t>
        </is>
      </c>
      <c r="C526" s="443" t="n">
        <v>21</v>
      </c>
      <c r="D526" s="264" t="inlineStr">
        <is>
          <t>Número y ritmo de operaciones en el periodo</t>
        </is>
      </c>
      <c r="E526" s="264" t="inlineStr">
        <is>
          <t>El fideicomitente o cesionario realiza cinco o más operaciones al año, o varias en intervalos cortos y regulares.</t>
        </is>
      </c>
      <c r="F526" s="264" t="inlineStr">
        <is>
          <t>El fideicomitente o cesionario realiza entre dos y cuatro operaciones al año.</t>
        </is>
      </c>
      <c r="G526" s="264" t="inlineStr">
        <is>
          <t>El fideicomitente o cesionario realiza una sola operación en el periodo.</t>
        </is>
      </c>
      <c r="H526" s="444" t="inlineStr">
        <is>
          <t>calculado</t>
        </is>
      </c>
    </row>
    <row r="527" ht="18.75" customHeight="1" s="225">
      <c r="A527" s="264">
        <f>B527&amp;"-"&amp;C527</f>
        <v/>
      </c>
      <c r="B527" s="442" t="inlineStr">
        <is>
          <t>XII - CORREDORES: Modif. o cesión fideicomiso</t>
        </is>
      </c>
      <c r="C527" s="443" t="n">
        <v>22</v>
      </c>
      <c r="D527" s="264" t="inlineStr">
        <is>
          <t>Canal: certeza de identificación del Cliente</t>
        </is>
      </c>
      <c r="E527" s="264" t="inlineStr">
        <is>
          <t>La operación llega por un gestor, plataforma o intermediario no acreditado: nadie responde por la identificación de el fideicomitente o cesionario, y quien opera puede no ser quien dice ser.</t>
        </is>
      </c>
      <c r="F527" s="264" t="inlineStr">
        <is>
          <t>Se identifica a el fideicomitente o cesionario de forma remota con verificación documental, o a través de un promotor o representante propio con contrato y responsable señalado.</t>
        </is>
      </c>
      <c r="G527" s="264" t="inlineStr">
        <is>
          <t>El fideicomitente o cesionario comparece de forma directa, o se le identifica en remoto con biometría y prueba de vida.</t>
        </is>
      </c>
      <c r="H527" s="444" t="inlineStr">
        <is>
          <t>campo</t>
        </is>
      </c>
    </row>
    <row r="528" ht="18.75" customHeight="1" s="225">
      <c r="A528" s="264">
        <f>B528&amp;"-"&amp;C528</f>
        <v/>
      </c>
      <c r="B528" s="442" t="inlineStr">
        <is>
          <t>XII - CORREDORES: Modif. o cesión fideicomiso</t>
        </is>
      </c>
      <c r="C528" s="443" t="n">
        <v>23</v>
      </c>
      <c r="D528" s="264" t="inlineStr">
        <is>
          <t>Acreditación del origen de los recursos</t>
        </is>
      </c>
      <c r="E528" s="264" t="inlineStr">
        <is>
          <t>El origen de los recursos se declara sin soporte documental, o no se manifiesta.</t>
        </is>
      </c>
      <c r="F528" s="264" t="inlineStr">
        <is>
          <t>El origen se declara y se acredita sólo de forma parcial.</t>
        </is>
      </c>
      <c r="G528" s="264" t="inlineStr">
        <is>
          <t>El origen se acredita con documentación verificable.</t>
        </is>
      </c>
      <c r="H528" s="444" t="inlineStr">
        <is>
          <t>bandera</t>
        </is>
      </c>
    </row>
    <row r="529" ht="18.75" customHeight="1" s="225">
      <c r="A529" s="264">
        <f>B529&amp;"-"&amp;C529</f>
        <v/>
      </c>
      <c r="B529" s="442" t="inlineStr">
        <is>
          <t>XII - CORREDORES: Modif. o cesión fideicomiso</t>
        </is>
      </c>
      <c r="C529" s="443" t="n">
        <v>24</v>
      </c>
      <c r="D529" s="264" t="inlineStr">
        <is>
          <t>Acreditación del destino de los recursos o del bien</t>
        </is>
      </c>
      <c r="E529" s="264" t="inlineStr">
        <is>
          <t>El destino no se manifiesta, o los recursos o los derechos fideicomisarios pasan a un tercero no relacionado con el fideicomitente o cesionario.</t>
        </is>
      </c>
      <c r="F529" s="264" t="inlineStr">
        <is>
          <t>El destino se declara y es verificable.</t>
        </is>
      </c>
      <c r="G529" s="264" t="inlineStr">
        <is>
          <t>El destino es los derechos fideicomisarios mismo, y queda registrado en la operación.</t>
        </is>
      </c>
      <c r="H529" s="444" t="inlineStr">
        <is>
          <t>bandera</t>
        </is>
      </c>
    </row>
    <row r="530" ht="18.75" customHeight="1" s="225">
      <c r="A530" s="264">
        <f>B530&amp;"-"&amp;C530</f>
        <v/>
      </c>
      <c r="B530" s="442" t="inlineStr">
        <is>
          <t>XII - CORREDORES: Modif. o cesión fideicomiso</t>
        </is>
      </c>
      <c r="C530" s="443" t="n">
        <v>25</v>
      </c>
      <c r="D530" s="264" t="inlineStr">
        <is>
          <t>Combinación de canal e instrumento idónea para el financiamiento al terrorismo</t>
        </is>
      </c>
      <c r="E530" s="264" t="inlineStr">
        <is>
          <t>La modificación o cesión del fideicomiso combina contratación a distancia sin verificación reforzada con pagos en efectivo o instrumentos al portador.</t>
        </is>
      </c>
      <c r="F530" s="264" t="inlineStr">
        <is>
          <t>Concurre uno solo de los dos: o la contratación remota sin verificación reforzada, o el pago en instrumento no bancarizado.</t>
        </is>
      </c>
      <c r="G530" s="264" t="inlineStr">
        <is>
          <t>Ni la forma de contratar ni la de pagar permiten mover valor de forma anónima.</t>
        </is>
      </c>
      <c r="H530" s="444" t="inlineStr">
        <is>
          <t>bandera</t>
        </is>
      </c>
    </row>
    <row r="531" ht="18.75" customHeight="1" s="225">
      <c r="A531" s="264">
        <f>B531&amp;"-"&amp;C531</f>
        <v/>
      </c>
      <c r="B531" s="442" t="inlineStr">
        <is>
          <t>XII - CORREDORES: Mutuo mercantil</t>
        </is>
      </c>
      <c r="C531" s="443" t="n">
        <v>1</v>
      </c>
      <c r="D531" s="264" t="inlineStr">
        <is>
          <t>Valor unitario de la operación</t>
        </is>
      </c>
      <c r="E531" s="264" t="inlineStr">
        <is>
          <t>El préstamo mercantil tiene un valor unitario muy por encima del ticket promedio de tu operación de doce meses.</t>
        </is>
      </c>
      <c r="F531" s="264" t="inlineStr">
        <is>
          <t>El préstamo mercantil tiene un valor unitario dentro del rango habitual de tu operación.</t>
        </is>
      </c>
      <c r="G531" s="264" t="inlineStr">
        <is>
          <t>El préstamo mercantil tiene un valor unitario por debajo de tu ticket promedio.</t>
        </is>
      </c>
      <c r="H531" s="444" t="inlineStr">
        <is>
          <t>calculado</t>
        </is>
      </c>
    </row>
    <row r="532" ht="18.75" customHeight="1" s="225">
      <c r="A532" s="264">
        <f>B532&amp;"-"&amp;C532</f>
        <v/>
      </c>
      <c r="B532" s="442" t="inlineStr">
        <is>
          <t>XII - CORREDORES: Mutuo mercantil</t>
        </is>
      </c>
      <c r="C532" s="443" t="n">
        <v>2</v>
      </c>
      <c r="D532" s="264" t="inlineStr">
        <is>
          <t>Liquidez: facilidad de convertir en dinero</t>
        </is>
      </c>
      <c r="E532" s="264" t="inlineStr">
        <is>
          <t>El préstamo mercantil puede revenderse o cederse de inmediato y prácticamente a su valor íntegro.</t>
        </is>
      </c>
      <c r="F532" s="264" t="inlineStr">
        <is>
          <t>El préstamo mercantil puede revenderse, pero con trámite, plazo o pérdida de valor apreciable.</t>
        </is>
      </c>
      <c r="G532" s="264" t="inlineStr">
        <is>
          <t>El préstamo mercantil es difícil de revender: exige formalidades o registro, o pierde valor de forma significativa.</t>
        </is>
      </c>
      <c r="H532" s="444" t="inlineStr">
        <is>
          <t>bandera</t>
        </is>
      </c>
    </row>
    <row r="533" ht="18.75" customHeight="1" s="225">
      <c r="A533" s="264">
        <f>B533&amp;"-"&amp;C533</f>
        <v/>
      </c>
      <c r="B533" s="442" t="inlineStr">
        <is>
          <t>XII - CORREDORES: Mutuo mercantil</t>
        </is>
      </c>
      <c r="C533" s="443" t="n">
        <v>3</v>
      </c>
      <c r="D533" s="264" t="inlineStr">
        <is>
          <t>Anonimato: si el beneficiario queda a la vista</t>
        </is>
      </c>
      <c r="E533" s="264" t="inlineStr">
        <is>
          <t>La formalización del mutuo admite que quien aparece no sea quien recibe el beneficio, sin que quede registro de quién es el beneficiario final.</t>
        </is>
      </c>
      <c r="F533" s="264" t="inlineStr">
        <is>
          <t>Se identifica a las partes del mutuo, pero el beneficiario final se declara sin documento que lo respalde.</t>
        </is>
      </c>
      <c r="G533" s="264" t="inlineStr">
        <is>
          <t>Las partes del mutuo y el beneficiario final coinciden, y ambos constan en el expediente.</t>
        </is>
      </c>
      <c r="H533" s="444" t="inlineStr">
        <is>
          <t>bandera</t>
        </is>
      </c>
    </row>
    <row r="534" ht="18.75" customHeight="1" s="225">
      <c r="A534" s="264">
        <f>B534&amp;"-"&amp;C534</f>
        <v/>
      </c>
      <c r="B534" s="442" t="inlineStr">
        <is>
          <t>XII - CORREDORES: Mutuo mercantil</t>
        </is>
      </c>
      <c r="C534" s="443" t="n">
        <v>4</v>
      </c>
      <c r="D534" s="264" t="inlineStr">
        <is>
          <t>Ocultamiento de valor en el precio</t>
        </is>
      </c>
      <c r="E534" s="264" t="inlineStr">
        <is>
          <t>La formalización del mutuo admite sobrevaluar, subvaluar o fraccionar el precio sin que la contabilidad lo refleje.</t>
        </is>
      </c>
      <c r="F534" s="264" t="inlineStr">
        <is>
          <t>El precio se aparta del valor de referencia, pero existe explicación documentada de la diferencia.</t>
        </is>
      </c>
      <c r="G534" s="264" t="inlineStr">
        <is>
          <t>El precio corresponde al valor de referencia y queda registrado en la contabilidad.</t>
        </is>
      </c>
      <c r="H534" s="444" t="inlineStr">
        <is>
          <t>bandera</t>
        </is>
      </c>
    </row>
    <row r="535" ht="18.75" customHeight="1" s="225">
      <c r="A535" s="264">
        <f>B535&amp;"-"&amp;C535</f>
        <v/>
      </c>
      <c r="B535" s="442" t="inlineStr">
        <is>
          <t>XII - CORREDORES: Mutuo mercantil</t>
        </is>
      </c>
      <c r="C535" s="443" t="n">
        <v>5</v>
      </c>
      <c r="D535" s="264" t="inlineStr">
        <is>
          <t>Exposición a personas señaladas por terrorismo</t>
        </is>
      </c>
      <c r="E535" s="264" t="inlineStr">
        <is>
          <t>Las partes del mutuo, su beneficiario o su contraparte aparece en listas de sanciones o de organizaciones terroristas.</t>
        </is>
      </c>
      <c r="F535" s="264" t="inlineStr">
        <is>
          <t>Existe un vínculo indirecto —contraparte, domicilio o ruta de los fondos— con una jurisdicción en conflicto o de acción requerida.</t>
        </is>
      </c>
      <c r="G535" s="264" t="inlineStr">
        <is>
          <t>Sin coincidencias ni vínculos con esas listas ni con jurisdicciones en conflicto, con búsqueda documentada.</t>
        </is>
      </c>
      <c r="H535" s="444" t="inlineStr">
        <is>
          <t>campo</t>
        </is>
      </c>
    </row>
    <row r="536" ht="18.75" customHeight="1" s="225">
      <c r="A536" s="264">
        <f>B536&amp;"-"&amp;C536</f>
        <v/>
      </c>
      <c r="B536" s="442" t="inlineStr">
        <is>
          <t>XII - CORREDORES: Mutuo mercantil</t>
        </is>
      </c>
      <c r="C536" s="443" t="n">
        <v>6</v>
      </c>
      <c r="D536" s="264" t="inlineStr">
        <is>
          <t>Tipo de persona</t>
        </is>
      </c>
      <c r="E536" s="264" t="inlineStr">
        <is>
          <t>El mutuante o mutuatario es un fideicomiso u otro vehículo sin personalidad jurídica propia. No hay un titular único: la figura permite que quien presta y quien recibe el dinero sean personas distintas y que ninguna aparezca en el contrato.</t>
        </is>
      </c>
      <c r="F536" s="264" t="inlineStr">
        <is>
          <t>El mutuante o mutuatario es persona moral. La voluntad se forma en órganos y la propiedad está en socios, así que hay que llegar al Beneficiario Controlador para saber quién está realmente detrás.</t>
        </is>
      </c>
      <c r="G536" s="264" t="inlineStr">
        <is>
          <t>El mutuante o mutuatario es persona física. Coincide quien presta y quien recibe el dinero, y la identificación es directa contra un solo expediente.</t>
        </is>
      </c>
      <c r="H536" s="444" t="inlineStr">
        <is>
          <t>campo</t>
        </is>
      </c>
    </row>
    <row r="537" ht="18.75" customHeight="1" s="225">
      <c r="A537" s="264">
        <f>B537&amp;"-"&amp;C537</f>
        <v/>
      </c>
      <c r="B537" s="442" t="inlineStr">
        <is>
          <t>XII - CORREDORES: Mutuo mercantil</t>
        </is>
      </c>
      <c r="C537" s="443" t="n">
        <v>7</v>
      </c>
      <c r="D537" s="264" t="inlineStr">
        <is>
          <t>Antigüedad del Cliente</t>
        </is>
      </c>
      <c r="E537" s="264" t="inlineStr">
        <is>
          <t>Persona moral constituida hace menos de dos años, o persona física menor de veintitrés años.</t>
        </is>
      </c>
      <c r="F537" s="264" t="inlineStr">
        <is>
          <t>Persona moral constituida hace entre dos y cinco años.</t>
        </is>
      </c>
      <c r="G537" s="264" t="inlineStr">
        <is>
          <t>Persona moral con más de cinco años de constituida, o persona física de veintitrés años en adelante.</t>
        </is>
      </c>
      <c r="H537" s="444" t="inlineStr">
        <is>
          <t>campo</t>
        </is>
      </c>
    </row>
    <row r="538" ht="18.75" customHeight="1" s="225">
      <c r="A538" s="264">
        <f>B538&amp;"-"&amp;C538</f>
        <v/>
      </c>
      <c r="B538" s="442" t="inlineStr">
        <is>
          <t>XII - CORREDORES: Mutuo mercantil</t>
        </is>
      </c>
      <c r="C538" s="443" t="n">
        <v>8</v>
      </c>
      <c r="D538" s="264" t="inlineStr">
        <is>
          <t>Giro o actividad declarada</t>
        </is>
      </c>
      <c r="E538" s="264" t="inlineStr">
        <is>
          <t>El giro que declara las partes del mutuo es a su vez una Actividad Vulnerable del artículo 17, o no se acredita con documento alguno.</t>
        </is>
      </c>
      <c r="F538" s="264" t="inlineStr">
        <is>
          <t>El giro se declara y se acredita sólo de forma parcial.</t>
        </is>
      </c>
      <c r="G538" s="264" t="inlineStr">
        <is>
          <t>El giro se acredita con documento: constancia de situación fiscal, acta constitutiva o comprobante de empleo.</t>
        </is>
      </c>
      <c r="H538" s="444" t="inlineStr">
        <is>
          <t>campo</t>
        </is>
      </c>
    </row>
    <row r="539" ht="18.75" customHeight="1" s="225">
      <c r="A539" s="264">
        <f>B539&amp;"-"&amp;C539</f>
        <v/>
      </c>
      <c r="B539" s="442" t="inlineStr">
        <is>
          <t>XII - CORREDORES: Mutuo mercantil</t>
        </is>
      </c>
      <c r="C539" s="443" t="n">
        <v>9</v>
      </c>
      <c r="D539" s="264" t="inlineStr">
        <is>
          <t>Nacionalidad</t>
        </is>
      </c>
      <c r="E539" s="264" t="inlineStr">
        <is>
          <t>Nacionalidad de país o jurisdicción señalada por la UIF, o no determinada.</t>
        </is>
      </c>
      <c r="F539" s="264" t="inlineStr">
        <is>
          <t>Nacionalidad extranjera de país sin señalamiento.</t>
        </is>
      </c>
      <c r="G539" s="264" t="inlineStr">
        <is>
          <t>Nacionalidad mexicana.</t>
        </is>
      </c>
      <c r="H539" s="444" t="inlineStr">
        <is>
          <t>campo</t>
        </is>
      </c>
    </row>
    <row r="540" ht="18.75" customHeight="1" s="225">
      <c r="A540" s="264">
        <f>B540&amp;"-"&amp;C540</f>
        <v/>
      </c>
      <c r="B540" s="442" t="inlineStr">
        <is>
          <t>XII - CORREDORES: Mutuo mercantil</t>
        </is>
      </c>
      <c r="C540" s="443" t="n">
        <v>10</v>
      </c>
      <c r="D540" s="264" t="inlineStr">
        <is>
          <t>País y entidad de residencia</t>
        </is>
      </c>
      <c r="E540" s="264" t="inlineStr">
        <is>
          <t>Residencia en jurisdicción de régimen fiscal preferente o señalada por deficiencias, o domicilio no verificable.</t>
        </is>
      </c>
      <c r="F540" s="264" t="inlineStr">
        <is>
          <t>Residencia en el extranjero sin señalamiento, o en entidad federativa señalada en la ENR.</t>
        </is>
      </c>
      <c r="G540" s="264" t="inlineStr">
        <is>
          <t>Residencia en México, en entidad federativa sin señalamiento en la ENR.</t>
        </is>
      </c>
      <c r="H540" s="444" t="inlineStr">
        <is>
          <t>campo</t>
        </is>
      </c>
    </row>
    <row r="541" ht="18.75" customHeight="1" s="225">
      <c r="A541" s="264">
        <f>B541&amp;"-"&amp;C541</f>
        <v/>
      </c>
      <c r="B541" s="442" t="inlineStr">
        <is>
          <t>XII - CORREDORES: Mutuo mercantil</t>
        </is>
      </c>
      <c r="C541" s="443" t="n">
        <v>11</v>
      </c>
      <c r="D541" s="264" t="inlineStr">
        <is>
          <t>Condición de Persona Políticamente Expuesta</t>
        </is>
      </c>
      <c r="E541" s="264" t="inlineStr">
        <is>
          <t>Persona Políticamente Expuesta extranjera, o nacional cuyo comportamiento transaccional no corresponde con sus ingresos y funciones.</t>
        </is>
      </c>
      <c r="F541" s="264" t="inlineStr">
        <is>
          <t>Persona Políticamente Expuesta nacional con comportamiento congruente, o familiar o allegado de una.</t>
        </is>
      </c>
      <c r="G541" s="264" t="inlineStr">
        <is>
          <t>Sin condición de Persona Políticamente Expuesta, con búsqueda documentada.</t>
        </is>
      </c>
      <c r="H541" s="444" t="inlineStr">
        <is>
          <t>campo</t>
        </is>
      </c>
    </row>
    <row r="542" ht="18.75" customHeight="1" s="225">
      <c r="A542" s="264">
        <f>B542&amp;"-"&amp;C542</f>
        <v/>
      </c>
      <c r="B542" s="442" t="inlineStr">
        <is>
          <t>XII - CORREDORES: Mutuo mercantil</t>
        </is>
      </c>
      <c r="C542" s="443" t="n">
        <v>12</v>
      </c>
      <c r="D542" s="264" t="inlineStr">
        <is>
          <t>Resultado de la búsqueda en listas</t>
        </is>
      </c>
      <c r="E542" s="264" t="inlineStr">
        <is>
          <t>Coincidencia positiva en listas de personas bloqueadas o de sanciones, o búsqueda no realizada o sin constancia.</t>
        </is>
      </c>
      <c r="F542" s="264" t="inlineStr">
        <is>
          <t>Coincidencia descartada por homonimia acreditada, con constancia.</t>
        </is>
      </c>
      <c r="G542" s="264" t="inlineStr">
        <is>
          <t>Sin coincidencia, con constancia de la búsqueda y su fecha.</t>
        </is>
      </c>
      <c r="H542" s="444" t="inlineStr">
        <is>
          <t>campo</t>
        </is>
      </c>
    </row>
    <row r="543" ht="18.75" customHeight="1" s="225">
      <c r="A543" s="264">
        <f>B543&amp;"-"&amp;C543</f>
        <v/>
      </c>
      <c r="B543" s="442" t="inlineStr">
        <is>
          <t>XII - CORREDORES: Mutuo mercantil</t>
        </is>
      </c>
      <c r="C543" s="443" t="n">
        <v>13</v>
      </c>
      <c r="D543" s="264" t="inlineStr">
        <is>
          <t>Profundidad de la cadena de control</t>
        </is>
      </c>
      <c r="E543" s="264" t="inlineStr">
        <is>
          <t>No se logra identificar al Beneficiario Controlador de las partes del mutuo, o la cadena no es acreditable.</t>
        </is>
      </c>
      <c r="F543" s="264" t="inlineStr">
        <is>
          <t>El Beneficiario Controlador se identifica atravesando dos o más niveles societarios o fiduciarios.</t>
        </is>
      </c>
      <c r="G543" s="264" t="inlineStr">
        <is>
          <t>El Beneficiario Controlador se identifica en un solo nivel, o las partes del mutuo es su propio beneficiario.</t>
        </is>
      </c>
      <c r="H543" s="444" t="inlineStr">
        <is>
          <t>calculado</t>
        </is>
      </c>
    </row>
    <row r="544" ht="18.75" customHeight="1" s="225">
      <c r="A544" s="264">
        <f>B544&amp;"-"&amp;C544</f>
        <v/>
      </c>
      <c r="B544" s="442" t="inlineStr">
        <is>
          <t>XII - CORREDORES: Mutuo mercantil</t>
        </is>
      </c>
      <c r="C544" s="443" t="n">
        <v>14</v>
      </c>
      <c r="D544" s="264" t="inlineStr">
        <is>
          <t>País donde se realiza la operación</t>
        </is>
      </c>
      <c r="E544" s="264" t="inlineStr">
        <is>
          <t>La formalización del mutuo se pacta con o desde una jurisdicción de alto riesgo o no cooperante.</t>
        </is>
      </c>
      <c r="F544" s="264" t="inlineStr">
        <is>
          <t>La formalización del mutuo se pacta con una jurisdicción extranjera sin señalamiento.</t>
        </is>
      </c>
      <c r="G544" s="264" t="inlineStr">
        <is>
          <t>La formalización del mutuo se realiza íntegramente en México.</t>
        </is>
      </c>
      <c r="H544" s="444" t="inlineStr">
        <is>
          <t>campo</t>
        </is>
      </c>
    </row>
    <row r="545" ht="18.75" customHeight="1" s="225">
      <c r="A545" s="264">
        <f>B545&amp;"-"&amp;C545</f>
        <v/>
      </c>
      <c r="B545" s="442" t="inlineStr">
        <is>
          <t>XII - CORREDORES: Mutuo mercantil</t>
        </is>
      </c>
      <c r="C545" s="443" t="n">
        <v>15</v>
      </c>
      <c r="D545" s="264" t="inlineStr">
        <is>
          <t>Entidad o municipio de la operación</t>
        </is>
      </c>
      <c r="E545" s="264" t="inlineStr">
        <is>
          <t>La formalización del mutuo ocurre en un municipio o zona identificada de alto riesgo.</t>
        </is>
      </c>
      <c r="F545" s="264" t="inlineStr">
        <is>
          <t>La formalización del mutuo ocurre en una entidad federativa con señalamiento en la ENR.</t>
        </is>
      </c>
      <c r="G545" s="264" t="inlineStr">
        <is>
          <t>La formalización del mutuo ocurre en una entidad federativa sin señalamiento en la ENR.</t>
        </is>
      </c>
      <c r="H545" s="444" t="inlineStr">
        <is>
          <t>campo</t>
        </is>
      </c>
    </row>
    <row r="546" ht="18.75" customHeight="1" s="225">
      <c r="A546" s="264">
        <f>B546&amp;"-"&amp;C546</f>
        <v/>
      </c>
      <c r="B546" s="442" t="inlineStr">
        <is>
          <t>XII - CORREDORES: Mutuo mercantil</t>
        </is>
      </c>
      <c r="C546" s="443" t="n">
        <v>16</v>
      </c>
      <c r="D546" s="264" t="inlineStr">
        <is>
          <t>Vínculo con jurisdicción sancionada o de acción requerida</t>
        </is>
      </c>
      <c r="E546" s="264" t="inlineStr">
        <is>
          <t>Hay exposición directa a una jurisdicción sancionada, en conflicto armado o de acción requerida del GAFI.</t>
        </is>
      </c>
      <c r="F546" s="264" t="inlineStr">
        <is>
          <t>La exposición es indirecta: una contraparte o la ruta de los fondos toca esa jurisdicción.</t>
        </is>
      </c>
      <c r="G546" s="264" t="inlineStr">
        <is>
          <t>Sin exposición a jurisdicciones sancionadas, en conflicto ni de acción requerida.</t>
        </is>
      </c>
      <c r="H546" s="444" t="inlineStr">
        <is>
          <t>campo</t>
        </is>
      </c>
    </row>
    <row r="547" ht="18.75" customHeight="1" s="225">
      <c r="A547" s="264">
        <f>B547&amp;"-"&amp;C547</f>
        <v/>
      </c>
      <c r="B547" s="442" t="inlineStr">
        <is>
          <t>XII - CORREDORES: Mutuo mercantil</t>
        </is>
      </c>
      <c r="C547" s="443" t="n">
        <v>17</v>
      </c>
      <c r="D547" s="264" t="inlineStr">
        <is>
          <t>Coincidencia entre domicilio y lugar de la operación</t>
        </is>
      </c>
      <c r="E547" s="264" t="inlineStr">
        <is>
          <t>El domicilio de las partes del mutuo y el lugar de la formalización del mutuo no coinciden, y no hay explicación documentada.</t>
        </is>
      </c>
      <c r="F547" s="264" t="inlineStr">
        <is>
          <t>No coinciden, pero consta por escrito la razón de operar en ese lugar.</t>
        </is>
      </c>
      <c r="G547" s="264" t="inlineStr">
        <is>
          <t>El domicilio de las partes del mutuo y el lugar de la formalización del mutuo coinciden.</t>
        </is>
      </c>
      <c r="H547" s="444" t="inlineStr">
        <is>
          <t>calculado</t>
        </is>
      </c>
    </row>
    <row r="548" ht="18.75" customHeight="1" s="225">
      <c r="A548" s="264">
        <f>B548&amp;"-"&amp;C548</f>
        <v/>
      </c>
      <c r="B548" s="442" t="inlineStr">
        <is>
          <t>XII - CORREDORES: Mutuo mercantil</t>
        </is>
      </c>
      <c r="C548" s="443" t="n">
        <v>18</v>
      </c>
      <c r="D548" s="264" t="inlineStr">
        <is>
          <t>Instrumento con que se paga</t>
        </is>
      </c>
      <c r="E548" s="264" t="inlineStr">
        <is>
          <t>Efectivo por encima de tu umbral interno, instrumento al portador, o pago en especie.</t>
        </is>
      </c>
      <c r="F548" s="264" t="inlineStr">
        <is>
          <t>Pago mixto, con un componente en efectivo por debajo de tu umbral interno.</t>
        </is>
      </c>
      <c r="G548" s="264" t="inlineStr">
        <is>
          <t>Transferencia electrónica o cheque nominativo desde una cuenta a nombre de las partes del mutuo.</t>
        </is>
      </c>
      <c r="H548" s="444" t="inlineStr">
        <is>
          <t>campo</t>
        </is>
      </c>
    </row>
    <row r="549" ht="18.75" customHeight="1" s="225">
      <c r="A549" s="264">
        <f>B549&amp;"-"&amp;C549</f>
        <v/>
      </c>
      <c r="B549" s="442" t="inlineStr">
        <is>
          <t>XII - CORREDORES: Mutuo mercantil</t>
        </is>
      </c>
      <c r="C549" s="443" t="n">
        <v>19</v>
      </c>
      <c r="D549" s="264" t="inlineStr">
        <is>
          <t>Moneda de la operación</t>
        </is>
      </c>
      <c r="E549" s="264" t="inlineStr">
        <is>
          <t>Divisa distinta del dólar estadounidense y del euro, o activo virtual.</t>
        </is>
      </c>
      <c r="F549" s="264" t="inlineStr">
        <is>
          <t>Dólar estadounidense o euro, con soporte documental.</t>
        </is>
      </c>
      <c r="G549" s="264" t="inlineStr">
        <is>
          <t>Peso mexicano.</t>
        </is>
      </c>
      <c r="H549" s="444" t="inlineStr">
        <is>
          <t>campo</t>
        </is>
      </c>
    </row>
    <row r="550" ht="18.75" customHeight="1" s="225">
      <c r="A550" s="264">
        <f>B550&amp;"-"&amp;C550</f>
        <v/>
      </c>
      <c r="B550" s="442" t="inlineStr">
        <is>
          <t>XII - CORREDORES: Mutuo mercantil</t>
        </is>
      </c>
      <c r="C550" s="443" t="n">
        <v>20</v>
      </c>
      <c r="D550" s="264" t="inlineStr">
        <is>
          <t>Monto frente al umbral de tu fracción</t>
        </is>
      </c>
      <c r="E550" s="264" t="inlineStr">
        <is>
          <t>La formalización del mutuo iguala o supera el umbral de Aviso de tu fracción del artículo 17.</t>
        </is>
      </c>
      <c r="F550" s="264" t="inlineStr">
        <is>
          <t>La formalización del mutuo se sitúa entre el umbral de identificación y el de Aviso.</t>
        </is>
      </c>
      <c r="G550" s="264" t="inlineStr">
        <is>
          <t>La formalización del mutuo queda por debajo del umbral de identificación.</t>
        </is>
      </c>
      <c r="H550" s="444" t="inlineStr">
        <is>
          <t>calculado</t>
        </is>
      </c>
    </row>
    <row r="551" ht="18.75" customHeight="1" s="225">
      <c r="A551" s="264">
        <f>B551&amp;"-"&amp;C551</f>
        <v/>
      </c>
      <c r="B551" s="442" t="inlineStr">
        <is>
          <t>XII - CORREDORES: Mutuo mercantil</t>
        </is>
      </c>
      <c r="C551" s="443" t="n">
        <v>21</v>
      </c>
      <c r="D551" s="264" t="inlineStr">
        <is>
          <t>Número y ritmo de operaciones en el periodo</t>
        </is>
      </c>
      <c r="E551" s="264" t="inlineStr">
        <is>
          <t>Las partes del mutuo realiza cinco o más operaciones al año, o varias en intervalos cortos y regulares.</t>
        </is>
      </c>
      <c r="F551" s="264" t="inlineStr">
        <is>
          <t>Las partes del mutuo realiza entre dos y cuatro operaciones al año.</t>
        </is>
      </c>
      <c r="G551" s="264" t="inlineStr">
        <is>
          <t>Las partes del mutuo realiza una sola operación en el periodo.</t>
        </is>
      </c>
      <c r="H551" s="444" t="inlineStr">
        <is>
          <t>calculado</t>
        </is>
      </c>
    </row>
    <row r="552" ht="18.75" customHeight="1" s="225">
      <c r="A552" s="264">
        <f>B552&amp;"-"&amp;C552</f>
        <v/>
      </c>
      <c r="B552" s="442" t="inlineStr">
        <is>
          <t>XII - CORREDORES: Mutuo mercantil</t>
        </is>
      </c>
      <c r="C552" s="443" t="n">
        <v>22</v>
      </c>
      <c r="D552" s="264" t="inlineStr">
        <is>
          <t>Canal: certeza de identificación del Cliente</t>
        </is>
      </c>
      <c r="E552" s="264" t="inlineStr">
        <is>
          <t>La operación llega por un gestor, plataforma o intermediario no acreditado: nadie responde por la identificación de las partes, y quien opera puede no ser quien dice ser.</t>
        </is>
      </c>
      <c r="F552" s="264" t="inlineStr">
        <is>
          <t>Se identifica a las partes de forma remota con verificación documental, o a través de un promotor o representante propio con contrato y responsable señalado.</t>
        </is>
      </c>
      <c r="G552" s="264" t="inlineStr">
        <is>
          <t>Las partes comparece de forma directa, o se le identifica en remoto con biometría y prueba de vida.</t>
        </is>
      </c>
      <c r="H552" s="444" t="inlineStr">
        <is>
          <t>campo</t>
        </is>
      </c>
    </row>
    <row r="553" ht="18.75" customHeight="1" s="225">
      <c r="A553" s="264">
        <f>B553&amp;"-"&amp;C553</f>
        <v/>
      </c>
      <c r="B553" s="442" t="inlineStr">
        <is>
          <t>XII - CORREDORES: Mutuo mercantil</t>
        </is>
      </c>
      <c r="C553" s="443" t="n">
        <v>23</v>
      </c>
      <c r="D553" s="264" t="inlineStr">
        <is>
          <t>Acreditación del origen de los recursos</t>
        </is>
      </c>
      <c r="E553" s="264" t="inlineStr">
        <is>
          <t>El origen de los recursos se declara sin soporte documental, o no se manifiesta.</t>
        </is>
      </c>
      <c r="F553" s="264" t="inlineStr">
        <is>
          <t>El origen se declara y se acredita sólo de forma parcial.</t>
        </is>
      </c>
      <c r="G553" s="264" t="inlineStr">
        <is>
          <t>El origen se acredita con documentación verificable.</t>
        </is>
      </c>
      <c r="H553" s="444" t="inlineStr">
        <is>
          <t>bandera</t>
        </is>
      </c>
    </row>
    <row r="554" ht="18.75" customHeight="1" s="225">
      <c r="A554" s="264">
        <f>B554&amp;"-"&amp;C554</f>
        <v/>
      </c>
      <c r="B554" s="442" t="inlineStr">
        <is>
          <t>XII - CORREDORES: Mutuo mercantil</t>
        </is>
      </c>
      <c r="C554" s="443" t="n">
        <v>24</v>
      </c>
      <c r="D554" s="264" t="inlineStr">
        <is>
          <t>Acreditación del destino de los recursos o del bien</t>
        </is>
      </c>
      <c r="E554" s="264" t="inlineStr">
        <is>
          <t>El destino no se manifiesta, o los recursos o el préstamo mercantil pasan a un tercero no relacionado con las partes del mutuo.</t>
        </is>
      </c>
      <c r="F554" s="264" t="inlineStr">
        <is>
          <t>El destino se declara y es verificable.</t>
        </is>
      </c>
      <c r="G554" s="264" t="inlineStr">
        <is>
          <t>El destino es el préstamo mercantil mismo, y queda registrado en la operación.</t>
        </is>
      </c>
      <c r="H554" s="444" t="inlineStr">
        <is>
          <t>bandera</t>
        </is>
      </c>
    </row>
    <row r="555" ht="18.75" customHeight="1" s="225">
      <c r="A555" s="264">
        <f>B555&amp;"-"&amp;C555</f>
        <v/>
      </c>
      <c r="B555" s="442" t="inlineStr">
        <is>
          <t>XII - CORREDORES: Mutuo mercantil</t>
        </is>
      </c>
      <c r="C555" s="443" t="n">
        <v>25</v>
      </c>
      <c r="D555" s="264" t="inlineStr">
        <is>
          <t>Combinación de canal e instrumento idónea para el financiamiento al terrorismo</t>
        </is>
      </c>
      <c r="E555" s="264" t="inlineStr">
        <is>
          <t>La formalización del mutuo combina contratación a distancia sin verificación reforzada con pagos en efectivo o instrumentos al portador.</t>
        </is>
      </c>
      <c r="F555" s="264" t="inlineStr">
        <is>
          <t>Concurre uno solo de los dos: o la contratación remota sin verificación reforzada, o el pago en instrumento no bancarizado.</t>
        </is>
      </c>
      <c r="G555" s="264" t="inlineStr">
        <is>
          <t>Ni la forma de contratar ni la de pagar permiten mover valor de forma anónima.</t>
        </is>
      </c>
      <c r="H555" s="444" t="inlineStr">
        <is>
          <t>bandera</t>
        </is>
      </c>
    </row>
    <row r="556" ht="18.75" customHeight="1" s="225">
      <c r="A556" s="264">
        <f>B556&amp;"-"&amp;C556</f>
        <v/>
      </c>
      <c r="B556" s="442" t="inlineStr">
        <is>
          <t>XII - FACILITADORES: Solución de controversias</t>
        </is>
      </c>
      <c r="C556" s="443" t="n">
        <v>1</v>
      </c>
      <c r="D556" s="264" t="inlineStr">
        <is>
          <t>Valor unitario de la operación</t>
        </is>
      </c>
      <c r="E556" s="264" t="inlineStr">
        <is>
          <t>El acuerdo alcanzado tiene un valor unitario muy por encima del ticket promedio de tu operación de doce meses.</t>
        </is>
      </c>
      <c r="F556" s="264" t="inlineStr">
        <is>
          <t>El acuerdo alcanzado tiene un valor unitario dentro del rango habitual de tu operación.</t>
        </is>
      </c>
      <c r="G556" s="264" t="inlineStr">
        <is>
          <t>El acuerdo alcanzado tiene un valor unitario por debajo de tu ticket promedio.</t>
        </is>
      </c>
      <c r="H556" s="444" t="inlineStr">
        <is>
          <t>calculado</t>
        </is>
      </c>
    </row>
    <row r="557" ht="18.75" customHeight="1" s="225">
      <c r="A557" s="264">
        <f>B557&amp;"-"&amp;C557</f>
        <v/>
      </c>
      <c r="B557" s="442" t="inlineStr">
        <is>
          <t>XII - FACILITADORES: Solución de controversias</t>
        </is>
      </c>
      <c r="C557" s="443" t="n">
        <v>2</v>
      </c>
      <c r="D557" s="264" t="inlineStr">
        <is>
          <t>Liquidez: facilidad de convertir en dinero</t>
        </is>
      </c>
      <c r="E557" s="264" t="inlineStr">
        <is>
          <t>El acuerdo alcanzado puede revenderse o cederse de inmediato y prácticamente a su valor íntegro.</t>
        </is>
      </c>
      <c r="F557" s="264" t="inlineStr">
        <is>
          <t>El acuerdo alcanzado puede revenderse, pero con trámite, plazo o pérdida de valor apreciable.</t>
        </is>
      </c>
      <c r="G557" s="264" t="inlineStr">
        <is>
          <t>El acuerdo alcanzado es difícil de revender: exige formalidades o registro, o pierde valor de forma significativa.</t>
        </is>
      </c>
      <c r="H557" s="444" t="inlineStr">
        <is>
          <t>bandera</t>
        </is>
      </c>
    </row>
    <row r="558" ht="18.75" customHeight="1" s="225">
      <c r="A558" s="264">
        <f>B558&amp;"-"&amp;C558</f>
        <v/>
      </c>
      <c r="B558" s="442" t="inlineStr">
        <is>
          <t>XII - FACILITADORES: Solución de controversias</t>
        </is>
      </c>
      <c r="C558" s="443" t="n">
        <v>3</v>
      </c>
      <c r="D558" s="264" t="inlineStr">
        <is>
          <t>Anonimato: si el beneficiario queda a la vista</t>
        </is>
      </c>
      <c r="E558" s="264" t="inlineStr">
        <is>
          <t>La gestión de la controversia admite que quien aparece no sea quien recibe el beneficio, sin que quede registro de quién es el beneficiario final.</t>
        </is>
      </c>
      <c r="F558" s="264" t="inlineStr">
        <is>
          <t>Se identifica a la parte que contrata, pero el beneficiario final se declara sin documento que lo respalde.</t>
        </is>
      </c>
      <c r="G558" s="264" t="inlineStr">
        <is>
          <t>La parte que contrata y el beneficiario final coinciden, y ambos constan en el expediente.</t>
        </is>
      </c>
      <c r="H558" s="444" t="inlineStr">
        <is>
          <t>bandera</t>
        </is>
      </c>
    </row>
    <row r="559" ht="18.75" customHeight="1" s="225">
      <c r="A559" s="264">
        <f>B559&amp;"-"&amp;C559</f>
        <v/>
      </c>
      <c r="B559" s="442" t="inlineStr">
        <is>
          <t>XII - FACILITADORES: Solución de controversias</t>
        </is>
      </c>
      <c r="C559" s="443" t="n">
        <v>4</v>
      </c>
      <c r="D559" s="264" t="inlineStr">
        <is>
          <t>Ocultamiento de valor en el precio</t>
        </is>
      </c>
      <c r="E559" s="264" t="inlineStr">
        <is>
          <t>La gestión de la controversia admite sobrevaluar, subvaluar o fraccionar el precio sin que la contabilidad lo refleje.</t>
        </is>
      </c>
      <c r="F559" s="264" t="inlineStr">
        <is>
          <t>El precio se aparta del valor de referencia, pero existe explicación documentada de la diferencia.</t>
        </is>
      </c>
      <c r="G559" s="264" t="inlineStr">
        <is>
          <t>El precio corresponde al valor de referencia y queda registrado en la contabilidad.</t>
        </is>
      </c>
      <c r="H559" s="444" t="inlineStr">
        <is>
          <t>bandera</t>
        </is>
      </c>
    </row>
    <row r="560" ht="18.75" customHeight="1" s="225">
      <c r="A560" s="264">
        <f>B560&amp;"-"&amp;C560</f>
        <v/>
      </c>
      <c r="B560" s="442" t="inlineStr">
        <is>
          <t>XII - FACILITADORES: Solución de controversias</t>
        </is>
      </c>
      <c r="C560" s="443" t="n">
        <v>5</v>
      </c>
      <c r="D560" s="264" t="inlineStr">
        <is>
          <t>Exposición a personas señaladas por terrorismo</t>
        </is>
      </c>
      <c r="E560" s="264" t="inlineStr">
        <is>
          <t>La parte que contrata, su beneficiario o su contraparte aparece en listas de sanciones o de organizaciones terroristas.</t>
        </is>
      </c>
      <c r="F560" s="264" t="inlineStr">
        <is>
          <t>Existe un vínculo indirecto —contraparte, domicilio o ruta de los fondos— con una jurisdicción en conflicto o de acción requerida.</t>
        </is>
      </c>
      <c r="G560" s="264" t="inlineStr">
        <is>
          <t>Sin coincidencias ni vínculos con esas listas ni con jurisdicciones en conflicto, con búsqueda documentada.</t>
        </is>
      </c>
      <c r="H560" s="444" t="inlineStr">
        <is>
          <t>campo</t>
        </is>
      </c>
    </row>
    <row r="561" ht="18.75" customHeight="1" s="225">
      <c r="A561" s="264">
        <f>B561&amp;"-"&amp;C561</f>
        <v/>
      </c>
      <c r="B561" s="442" t="inlineStr">
        <is>
          <t>XII - FACILITADORES: Solución de controversias</t>
        </is>
      </c>
      <c r="C561" s="443" t="n">
        <v>6</v>
      </c>
      <c r="D561" s="264" t="inlineStr">
        <is>
          <t>Tipo de persona</t>
        </is>
      </c>
      <c r="E561" s="264" t="inlineStr">
        <is>
          <t>La parte que contrata es un fideicomiso u otro vehículo sin personalidad jurídica propia. No hay un titular único: la figura permite que quien encarga la gestión y quien se beneficia del arreglo sean personas distintas y que ninguna aparezca en el contrato.</t>
        </is>
      </c>
      <c r="F561" s="264" t="inlineStr">
        <is>
          <t>La parte que contrata es persona moral. La voluntad se forma en órganos y la propiedad está en socios, así que hay que llegar al Beneficiario Controlador para saber quién está realmente detrás.</t>
        </is>
      </c>
      <c r="G561" s="264" t="inlineStr">
        <is>
          <t>La parte que contrata es persona física. Coincide quien encarga la gestión y quien se beneficia del arreglo, y la identificación es directa contra un solo expediente.</t>
        </is>
      </c>
      <c r="H561" s="444" t="inlineStr">
        <is>
          <t>campo</t>
        </is>
      </c>
    </row>
    <row r="562" ht="18.75" customHeight="1" s="225">
      <c r="A562" s="264">
        <f>B562&amp;"-"&amp;C562</f>
        <v/>
      </c>
      <c r="B562" s="442" t="inlineStr">
        <is>
          <t>XII - FACILITADORES: Solución de controversias</t>
        </is>
      </c>
      <c r="C562" s="443" t="n">
        <v>7</v>
      </c>
      <c r="D562" s="264" t="inlineStr">
        <is>
          <t>Antigüedad del Cliente</t>
        </is>
      </c>
      <c r="E562" s="264" t="inlineStr">
        <is>
          <t>Persona moral constituida hace menos de dos años, o persona física menor de veintitrés años.</t>
        </is>
      </c>
      <c r="F562" s="264" t="inlineStr">
        <is>
          <t>Persona moral constituida hace entre dos y cinco años.</t>
        </is>
      </c>
      <c r="G562" s="264" t="inlineStr">
        <is>
          <t>Persona moral con más de cinco años de constituida, o persona física de veintitrés años en adelante.</t>
        </is>
      </c>
      <c r="H562" s="444" t="inlineStr">
        <is>
          <t>campo</t>
        </is>
      </c>
    </row>
    <row r="563" ht="18.75" customHeight="1" s="225">
      <c r="A563" s="264">
        <f>B563&amp;"-"&amp;C563</f>
        <v/>
      </c>
      <c r="B563" s="442" t="inlineStr">
        <is>
          <t>XII - FACILITADORES: Solución de controversias</t>
        </is>
      </c>
      <c r="C563" s="443" t="n">
        <v>8</v>
      </c>
      <c r="D563" s="264" t="inlineStr">
        <is>
          <t>Giro o actividad declarada</t>
        </is>
      </c>
      <c r="E563" s="264" t="inlineStr">
        <is>
          <t>El giro que declara la parte que contrata es a su vez una Actividad Vulnerable del artículo 17, o no se acredita con documento alguno.</t>
        </is>
      </c>
      <c r="F563" s="264" t="inlineStr">
        <is>
          <t>El giro se declara y se acredita sólo de forma parcial.</t>
        </is>
      </c>
      <c r="G563" s="264" t="inlineStr">
        <is>
          <t>El giro se acredita con documento: constancia de situación fiscal, acta constitutiva o comprobante de empleo.</t>
        </is>
      </c>
      <c r="H563" s="444" t="inlineStr">
        <is>
          <t>campo</t>
        </is>
      </c>
    </row>
    <row r="564" ht="18.75" customHeight="1" s="225">
      <c r="A564" s="264">
        <f>B564&amp;"-"&amp;C564</f>
        <v/>
      </c>
      <c r="B564" s="442" t="inlineStr">
        <is>
          <t>XII - FACILITADORES: Solución de controversias</t>
        </is>
      </c>
      <c r="C564" s="443" t="n">
        <v>9</v>
      </c>
      <c r="D564" s="264" t="inlineStr">
        <is>
          <t>Nacionalidad</t>
        </is>
      </c>
      <c r="E564" s="264" t="inlineStr">
        <is>
          <t>Nacionalidad de país o jurisdicción señalada por la UIF, o no determinada.</t>
        </is>
      </c>
      <c r="F564" s="264" t="inlineStr">
        <is>
          <t>Nacionalidad extranjera de país sin señalamiento.</t>
        </is>
      </c>
      <c r="G564" s="264" t="inlineStr">
        <is>
          <t>Nacionalidad mexicana.</t>
        </is>
      </c>
      <c r="H564" s="444" t="inlineStr">
        <is>
          <t>campo</t>
        </is>
      </c>
    </row>
    <row r="565" ht="18.75" customHeight="1" s="225">
      <c r="A565" s="264">
        <f>B565&amp;"-"&amp;C565</f>
        <v/>
      </c>
      <c r="B565" s="442" t="inlineStr">
        <is>
          <t>XII - FACILITADORES: Solución de controversias</t>
        </is>
      </c>
      <c r="C565" s="443" t="n">
        <v>10</v>
      </c>
      <c r="D565" s="264" t="inlineStr">
        <is>
          <t>País y entidad de residencia</t>
        </is>
      </c>
      <c r="E565" s="264" t="inlineStr">
        <is>
          <t>Residencia en jurisdicción de régimen fiscal preferente o señalada por deficiencias, o domicilio no verificable.</t>
        </is>
      </c>
      <c r="F565" s="264" t="inlineStr">
        <is>
          <t>Residencia en el extranjero sin señalamiento, o en entidad federativa señalada en la ENR.</t>
        </is>
      </c>
      <c r="G565" s="264" t="inlineStr">
        <is>
          <t>Residencia en México, en entidad federativa sin señalamiento en la ENR.</t>
        </is>
      </c>
      <c r="H565" s="444" t="inlineStr">
        <is>
          <t>campo</t>
        </is>
      </c>
    </row>
    <row r="566" ht="18.75" customHeight="1" s="225">
      <c r="A566" s="264">
        <f>B566&amp;"-"&amp;C566</f>
        <v/>
      </c>
      <c r="B566" s="442" t="inlineStr">
        <is>
          <t>XII - FACILITADORES: Solución de controversias</t>
        </is>
      </c>
      <c r="C566" s="443" t="n">
        <v>11</v>
      </c>
      <c r="D566" s="264" t="inlineStr">
        <is>
          <t>Condición de Persona Políticamente Expuesta</t>
        </is>
      </c>
      <c r="E566" s="264" t="inlineStr">
        <is>
          <t>Persona Políticamente Expuesta extranjera, o nacional cuyo comportamiento transaccional no corresponde con sus ingresos y funciones.</t>
        </is>
      </c>
      <c r="F566" s="264" t="inlineStr">
        <is>
          <t>Persona Políticamente Expuesta nacional con comportamiento congruente, o familiar o allegado de una.</t>
        </is>
      </c>
      <c r="G566" s="264" t="inlineStr">
        <is>
          <t>Sin condición de Persona Políticamente Expuesta, con búsqueda documentada.</t>
        </is>
      </c>
      <c r="H566" s="444" t="inlineStr">
        <is>
          <t>campo</t>
        </is>
      </c>
    </row>
    <row r="567" ht="18.75" customHeight="1" s="225">
      <c r="A567" s="264">
        <f>B567&amp;"-"&amp;C567</f>
        <v/>
      </c>
      <c r="B567" s="442" t="inlineStr">
        <is>
          <t>XII - FACILITADORES: Solución de controversias</t>
        </is>
      </c>
      <c r="C567" s="443" t="n">
        <v>12</v>
      </c>
      <c r="D567" s="264" t="inlineStr">
        <is>
          <t>Resultado de la búsqueda en listas</t>
        </is>
      </c>
      <c r="E567" s="264" t="inlineStr">
        <is>
          <t>Coincidencia positiva en listas de personas bloqueadas o de sanciones, o búsqueda no realizada o sin constancia.</t>
        </is>
      </c>
      <c r="F567" s="264" t="inlineStr">
        <is>
          <t>Coincidencia descartada por homonimia acreditada, con constancia.</t>
        </is>
      </c>
      <c r="G567" s="264" t="inlineStr">
        <is>
          <t>Sin coincidencia, con constancia de la búsqueda y su fecha.</t>
        </is>
      </c>
      <c r="H567" s="444" t="inlineStr">
        <is>
          <t>campo</t>
        </is>
      </c>
    </row>
    <row r="568" ht="18.75" customHeight="1" s="225">
      <c r="A568" s="264">
        <f>B568&amp;"-"&amp;C568</f>
        <v/>
      </c>
      <c r="B568" s="442" t="inlineStr">
        <is>
          <t>XII - FACILITADORES: Solución de controversias</t>
        </is>
      </c>
      <c r="C568" s="443" t="n">
        <v>13</v>
      </c>
      <c r="D568" s="264" t="inlineStr">
        <is>
          <t>Profundidad de la cadena de control</t>
        </is>
      </c>
      <c r="E568" s="264" t="inlineStr">
        <is>
          <t>No se logra identificar al Beneficiario Controlador de la parte que contrata, o la cadena no es acreditable.</t>
        </is>
      </c>
      <c r="F568" s="264" t="inlineStr">
        <is>
          <t>El Beneficiario Controlador se identifica atravesando dos o más niveles societarios o fiduciarios.</t>
        </is>
      </c>
      <c r="G568" s="264" t="inlineStr">
        <is>
          <t>El Beneficiario Controlador se identifica en un solo nivel, o la parte que contrata es su propio beneficiario.</t>
        </is>
      </c>
      <c r="H568" s="444" t="inlineStr">
        <is>
          <t>calculado</t>
        </is>
      </c>
    </row>
    <row r="569" ht="18.75" customHeight="1" s="225">
      <c r="A569" s="264">
        <f>B569&amp;"-"&amp;C569</f>
        <v/>
      </c>
      <c r="B569" s="442" t="inlineStr">
        <is>
          <t>XII - FACILITADORES: Solución de controversias</t>
        </is>
      </c>
      <c r="C569" s="443" t="n">
        <v>14</v>
      </c>
      <c r="D569" s="264" t="inlineStr">
        <is>
          <t>País donde se realiza la operación</t>
        </is>
      </c>
      <c r="E569" s="264" t="inlineStr">
        <is>
          <t>La gestión de la controversia se pacta con o desde una jurisdicción de alto riesgo o no cooperante.</t>
        </is>
      </c>
      <c r="F569" s="264" t="inlineStr">
        <is>
          <t>La gestión de la controversia se pacta con una jurisdicción extranjera sin señalamiento.</t>
        </is>
      </c>
      <c r="G569" s="264" t="inlineStr">
        <is>
          <t>La gestión de la controversia se realiza íntegramente en México.</t>
        </is>
      </c>
      <c r="H569" s="444" t="inlineStr">
        <is>
          <t>campo</t>
        </is>
      </c>
    </row>
    <row r="570" ht="18.75" customHeight="1" s="225">
      <c r="A570" s="264">
        <f>B570&amp;"-"&amp;C570</f>
        <v/>
      </c>
      <c r="B570" s="442" t="inlineStr">
        <is>
          <t>XII - FACILITADORES: Solución de controversias</t>
        </is>
      </c>
      <c r="C570" s="443" t="n">
        <v>15</v>
      </c>
      <c r="D570" s="264" t="inlineStr">
        <is>
          <t>Entidad o municipio de la operación</t>
        </is>
      </c>
      <c r="E570" s="264" t="inlineStr">
        <is>
          <t>La gestión de la controversia ocurre en un municipio o zona identificada de alto riesgo.</t>
        </is>
      </c>
      <c r="F570" s="264" t="inlineStr">
        <is>
          <t>La gestión de la controversia ocurre en una entidad federativa con señalamiento en la ENR.</t>
        </is>
      </c>
      <c r="G570" s="264" t="inlineStr">
        <is>
          <t>La gestión de la controversia ocurre en una entidad federativa sin señalamiento en la ENR.</t>
        </is>
      </c>
      <c r="H570" s="444" t="inlineStr">
        <is>
          <t>campo</t>
        </is>
      </c>
    </row>
    <row r="571" ht="18.75" customHeight="1" s="225">
      <c r="A571" s="264">
        <f>B571&amp;"-"&amp;C571</f>
        <v/>
      </c>
      <c r="B571" s="442" t="inlineStr">
        <is>
          <t>XII - FACILITADORES: Solución de controversias</t>
        </is>
      </c>
      <c r="C571" s="443" t="n">
        <v>16</v>
      </c>
      <c r="D571" s="264" t="inlineStr">
        <is>
          <t>Vínculo con jurisdicción sancionada o de acción requerida</t>
        </is>
      </c>
      <c r="E571" s="264" t="inlineStr">
        <is>
          <t>Hay exposición directa a una jurisdicción sancionada, en conflicto armado o de acción requerida del GAFI.</t>
        </is>
      </c>
      <c r="F571" s="264" t="inlineStr">
        <is>
          <t>La exposición es indirecta: una contraparte o la ruta de los fondos toca esa jurisdicción.</t>
        </is>
      </c>
      <c r="G571" s="264" t="inlineStr">
        <is>
          <t>Sin exposición a jurisdicciones sancionadas, en conflicto ni de acción requerida.</t>
        </is>
      </c>
      <c r="H571" s="444" t="inlineStr">
        <is>
          <t>campo</t>
        </is>
      </c>
    </row>
    <row r="572" ht="18.75" customHeight="1" s="225">
      <c r="A572" s="264">
        <f>B572&amp;"-"&amp;C572</f>
        <v/>
      </c>
      <c r="B572" s="442" t="inlineStr">
        <is>
          <t>XII - FACILITADORES: Solución de controversias</t>
        </is>
      </c>
      <c r="C572" s="443" t="n">
        <v>17</v>
      </c>
      <c r="D572" s="264" t="inlineStr">
        <is>
          <t>Coincidencia entre domicilio y lugar de la operación</t>
        </is>
      </c>
      <c r="E572" s="264" t="inlineStr">
        <is>
          <t>El domicilio de la parte que contrata y el lugar de la gestión de la controversia no coinciden, y no hay explicación documentada.</t>
        </is>
      </c>
      <c r="F572" s="264" t="inlineStr">
        <is>
          <t>No coinciden, pero consta por escrito la razón de operar en ese lugar.</t>
        </is>
      </c>
      <c r="G572" s="264" t="inlineStr">
        <is>
          <t>El domicilio de la parte que contrata y el lugar de la gestión de la controversia coinciden.</t>
        </is>
      </c>
      <c r="H572" s="444" t="inlineStr">
        <is>
          <t>calculado</t>
        </is>
      </c>
    </row>
    <row r="573" ht="18.75" customHeight="1" s="225">
      <c r="A573" s="264">
        <f>B573&amp;"-"&amp;C573</f>
        <v/>
      </c>
      <c r="B573" s="442" t="inlineStr">
        <is>
          <t>XII - FACILITADORES: Solución de controversias</t>
        </is>
      </c>
      <c r="C573" s="443" t="n">
        <v>18</v>
      </c>
      <c r="D573" s="264" t="inlineStr">
        <is>
          <t>Instrumento con que se paga</t>
        </is>
      </c>
      <c r="E573" s="264" t="inlineStr">
        <is>
          <t>Efectivo por encima de tu umbral interno, instrumento al portador, o pago en especie.</t>
        </is>
      </c>
      <c r="F573" s="264" t="inlineStr">
        <is>
          <t>Pago mixto, con un componente en efectivo por debajo de tu umbral interno.</t>
        </is>
      </c>
      <c r="G573" s="264" t="inlineStr">
        <is>
          <t>Transferencia electrónica o cheque nominativo desde una cuenta a nombre de la parte que contrata.</t>
        </is>
      </c>
      <c r="H573" s="444" t="inlineStr">
        <is>
          <t>campo</t>
        </is>
      </c>
    </row>
    <row r="574" ht="18.75" customHeight="1" s="225">
      <c r="A574" s="264">
        <f>B574&amp;"-"&amp;C574</f>
        <v/>
      </c>
      <c r="B574" s="442" t="inlineStr">
        <is>
          <t>XII - FACILITADORES: Solución de controversias</t>
        </is>
      </c>
      <c r="C574" s="443" t="n">
        <v>19</v>
      </c>
      <c r="D574" s="264" t="inlineStr">
        <is>
          <t>Moneda de la operación</t>
        </is>
      </c>
      <c r="E574" s="264" t="inlineStr">
        <is>
          <t>Divisa distinta del dólar estadounidense y del euro, o activo virtual.</t>
        </is>
      </c>
      <c r="F574" s="264" t="inlineStr">
        <is>
          <t>Dólar estadounidense o euro, con soporte documental.</t>
        </is>
      </c>
      <c r="G574" s="264" t="inlineStr">
        <is>
          <t>Peso mexicano.</t>
        </is>
      </c>
      <c r="H574" s="444" t="inlineStr">
        <is>
          <t>campo</t>
        </is>
      </c>
    </row>
    <row r="575" ht="18.75" customHeight="1" s="225">
      <c r="A575" s="264">
        <f>B575&amp;"-"&amp;C575</f>
        <v/>
      </c>
      <c r="B575" s="442" t="inlineStr">
        <is>
          <t>XII - FACILITADORES: Solución de controversias</t>
        </is>
      </c>
      <c r="C575" s="443" t="n">
        <v>20</v>
      </c>
      <c r="D575" s="264" t="inlineStr">
        <is>
          <t>Monto frente al umbral de tu fracción</t>
        </is>
      </c>
      <c r="E575" s="264" t="inlineStr">
        <is>
          <t>La gestión de la controversia iguala o supera el umbral de Aviso de tu fracción del artículo 17.</t>
        </is>
      </c>
      <c r="F575" s="264" t="inlineStr">
        <is>
          <t>La gestión de la controversia se sitúa entre el umbral de identificación y el de Aviso.</t>
        </is>
      </c>
      <c r="G575" s="264" t="inlineStr">
        <is>
          <t>La gestión de la controversia queda por debajo del umbral de identificación.</t>
        </is>
      </c>
      <c r="H575" s="444" t="inlineStr">
        <is>
          <t>calculado</t>
        </is>
      </c>
    </row>
    <row r="576" ht="18.75" customHeight="1" s="225">
      <c r="A576" s="264">
        <f>B576&amp;"-"&amp;C576</f>
        <v/>
      </c>
      <c r="B576" s="442" t="inlineStr">
        <is>
          <t>XII - FACILITADORES: Solución de controversias</t>
        </is>
      </c>
      <c r="C576" s="443" t="n">
        <v>21</v>
      </c>
      <c r="D576" s="264" t="inlineStr">
        <is>
          <t>Número y ritmo de operaciones en el periodo</t>
        </is>
      </c>
      <c r="E576" s="264" t="inlineStr">
        <is>
          <t>La parte que contrata realiza cinco o más operaciones al año, o varias en intervalos cortos y regulares.</t>
        </is>
      </c>
      <c r="F576" s="264" t="inlineStr">
        <is>
          <t>La parte que contrata realiza entre dos y cuatro operaciones al año.</t>
        </is>
      </c>
      <c r="G576" s="264" t="inlineStr">
        <is>
          <t>La parte que contrata realiza una sola operación en el periodo.</t>
        </is>
      </c>
      <c r="H576" s="444" t="inlineStr">
        <is>
          <t>calculado</t>
        </is>
      </c>
    </row>
    <row r="577" ht="18.75" customHeight="1" s="225">
      <c r="A577" s="264">
        <f>B577&amp;"-"&amp;C577</f>
        <v/>
      </c>
      <c r="B577" s="442" t="inlineStr">
        <is>
          <t>XII - FACILITADORES: Solución de controversias</t>
        </is>
      </c>
      <c r="C577" s="443" t="n">
        <v>22</v>
      </c>
      <c r="D577" s="264" t="inlineStr">
        <is>
          <t>Canal: certeza de identificación del Cliente</t>
        </is>
      </c>
      <c r="E577" s="264" t="inlineStr">
        <is>
          <t>La operación llega por un gestor, plataforma o intermediario no acreditado: nadie responde por la identificación de la parte que contrata, y quien opera puede no ser quien dice ser.</t>
        </is>
      </c>
      <c r="F577" s="264" t="inlineStr">
        <is>
          <t>Se identifica a la parte que contrata de forma remota con verificación documental, o a través de un promotor o representante propio con contrato y responsable señalado.</t>
        </is>
      </c>
      <c r="G577" s="264" t="inlineStr">
        <is>
          <t>La parte que contrata comparece de forma directa, o se le identifica en remoto con biometría y prueba de vida.</t>
        </is>
      </c>
      <c r="H577" s="444" t="inlineStr">
        <is>
          <t>campo</t>
        </is>
      </c>
    </row>
    <row r="578" ht="18.75" customHeight="1" s="225">
      <c r="A578" s="264">
        <f>B578&amp;"-"&amp;C578</f>
        <v/>
      </c>
      <c r="B578" s="442" t="inlineStr">
        <is>
          <t>XII - FACILITADORES: Solución de controversias</t>
        </is>
      </c>
      <c r="C578" s="443" t="n">
        <v>23</v>
      </c>
      <c r="D578" s="264" t="inlineStr">
        <is>
          <t>Acreditación del origen de los recursos</t>
        </is>
      </c>
      <c r="E578" s="264" t="inlineStr">
        <is>
          <t>El origen de los recursos se declara sin soporte documental, o no se manifiesta.</t>
        </is>
      </c>
      <c r="F578" s="264" t="inlineStr">
        <is>
          <t>El origen se declara y se acredita sólo de forma parcial.</t>
        </is>
      </c>
      <c r="G578" s="264" t="inlineStr">
        <is>
          <t>El origen se acredita con documentación verificable.</t>
        </is>
      </c>
      <c r="H578" s="444" t="inlineStr">
        <is>
          <t>bandera</t>
        </is>
      </c>
    </row>
    <row r="579" ht="18.75" customHeight="1" s="225">
      <c r="A579" s="264">
        <f>B579&amp;"-"&amp;C579</f>
        <v/>
      </c>
      <c r="B579" s="442" t="inlineStr">
        <is>
          <t>XII - FACILITADORES: Solución de controversias</t>
        </is>
      </c>
      <c r="C579" s="443" t="n">
        <v>24</v>
      </c>
      <c r="D579" s="264" t="inlineStr">
        <is>
          <t>Acreditación del destino de los recursos o del bien</t>
        </is>
      </c>
      <c r="E579" s="264" t="inlineStr">
        <is>
          <t>El destino no se manifiesta, o los recursos o el acuerdo alcanzado pasan a un tercero no relacionado con la parte que contrata.</t>
        </is>
      </c>
      <c r="F579" s="264" t="inlineStr">
        <is>
          <t>El destino se declara y es verificable.</t>
        </is>
      </c>
      <c r="G579" s="264" t="inlineStr">
        <is>
          <t>El destino es el acuerdo alcanzado mismo, y queda registrado en la operación.</t>
        </is>
      </c>
      <c r="H579" s="444" t="inlineStr">
        <is>
          <t>bandera</t>
        </is>
      </c>
    </row>
    <row r="580" ht="18.75" customHeight="1" s="225">
      <c r="A580" s="264">
        <f>B580&amp;"-"&amp;C580</f>
        <v/>
      </c>
      <c r="B580" s="442" t="inlineStr">
        <is>
          <t>XII - FACILITADORES: Solución de controversias</t>
        </is>
      </c>
      <c r="C580" s="443" t="n">
        <v>25</v>
      </c>
      <c r="D580" s="264" t="inlineStr">
        <is>
          <t>Combinación de canal e instrumento idónea para el financiamiento al terrorismo</t>
        </is>
      </c>
      <c r="E580" s="264" t="inlineStr">
        <is>
          <t>La gestión de la controversia combina contratación a distancia sin verificación reforzada con pagos en efectivo o instrumentos al portador.</t>
        </is>
      </c>
      <c r="F580" s="264" t="inlineStr">
        <is>
          <t>Concurre uno solo de los dos: o la contratación remota sin verificación reforzada, o el pago en instrumento no bancarizado.</t>
        </is>
      </c>
      <c r="G580" s="264" t="inlineStr">
        <is>
          <t>Ni la forma de contratar ni la de pagar permiten mover valor de forma anónima.</t>
        </is>
      </c>
      <c r="H580" s="444" t="inlineStr">
        <is>
          <t>bandera</t>
        </is>
      </c>
    </row>
    <row r="581" ht="18.75" customHeight="1" s="225">
      <c r="A581" s="264">
        <f>B581&amp;"-"&amp;C581</f>
        <v/>
      </c>
      <c r="B581" s="442" t="inlineStr">
        <is>
          <t>XIII - Recepción de donativos</t>
        </is>
      </c>
      <c r="C581" s="443" t="n">
        <v>1</v>
      </c>
      <c r="D581" s="264" t="inlineStr">
        <is>
          <t>Valor unitario de la operación</t>
        </is>
      </c>
      <c r="E581" s="264" t="inlineStr">
        <is>
          <t>El donativo tiene un valor unitario muy por encima del ticket promedio de tu operación de doce meses.</t>
        </is>
      </c>
      <c r="F581" s="264" t="inlineStr">
        <is>
          <t>El donativo tiene un valor unitario dentro del rango habitual de tu operación.</t>
        </is>
      </c>
      <c r="G581" s="264" t="inlineStr">
        <is>
          <t>El donativo tiene un valor unitario por debajo de tu ticket promedio.</t>
        </is>
      </c>
      <c r="H581" s="444" t="inlineStr">
        <is>
          <t>calculado</t>
        </is>
      </c>
    </row>
    <row r="582" ht="18.75" customHeight="1" s="225">
      <c r="A582" s="264">
        <f>B582&amp;"-"&amp;C582</f>
        <v/>
      </c>
      <c r="B582" s="442" t="inlineStr">
        <is>
          <t>XIII - Recepción de donativos</t>
        </is>
      </c>
      <c r="C582" s="443" t="n">
        <v>2</v>
      </c>
      <c r="D582" s="264" t="inlineStr">
        <is>
          <t>Liquidez: facilidad de convertir en dinero</t>
        </is>
      </c>
      <c r="E582" s="264" t="inlineStr">
        <is>
          <t>El donativo puede revenderse o cederse de inmediato y prácticamente a su valor íntegro.</t>
        </is>
      </c>
      <c r="F582" s="264" t="inlineStr">
        <is>
          <t>El donativo puede revenderse, pero con trámite, plazo o pérdida de valor apreciable.</t>
        </is>
      </c>
      <c r="G582" s="264" t="inlineStr">
        <is>
          <t>El donativo es difícil de revender: exige formalidades o registro, o pierde valor de forma significativa.</t>
        </is>
      </c>
      <c r="H582" s="444" t="inlineStr">
        <is>
          <t>bandera</t>
        </is>
      </c>
    </row>
    <row r="583" ht="18.75" customHeight="1" s="225">
      <c r="A583" s="264">
        <f>B583&amp;"-"&amp;C583</f>
        <v/>
      </c>
      <c r="B583" s="442" t="inlineStr">
        <is>
          <t>XIII - Recepción de donativos</t>
        </is>
      </c>
      <c r="C583" s="443" t="n">
        <v>3</v>
      </c>
      <c r="D583" s="264" t="inlineStr">
        <is>
          <t>Anonimato: si el beneficiario queda a la vista</t>
        </is>
      </c>
      <c r="E583" s="264" t="inlineStr">
        <is>
          <t>La recepción del donativo admite que quien aparece no sea quien recibe el beneficio, sin que quede registro de quién es el beneficiario final.</t>
        </is>
      </c>
      <c r="F583" s="264" t="inlineStr">
        <is>
          <t>Se identifica a el donante, pero el beneficiario final se declara sin documento que lo respalde.</t>
        </is>
      </c>
      <c r="G583" s="264" t="inlineStr">
        <is>
          <t>El donante y el beneficiario final coinciden, y ambos constan en el expediente.</t>
        </is>
      </c>
      <c r="H583" s="444" t="inlineStr">
        <is>
          <t>bandera</t>
        </is>
      </c>
    </row>
    <row r="584" ht="18.75" customHeight="1" s="225">
      <c r="A584" s="264">
        <f>B584&amp;"-"&amp;C584</f>
        <v/>
      </c>
      <c r="B584" s="442" t="inlineStr">
        <is>
          <t>XIII - Recepción de donativos</t>
        </is>
      </c>
      <c r="C584" s="443" t="n">
        <v>4</v>
      </c>
      <c r="D584" s="264" t="inlineStr">
        <is>
          <t>Ocultamiento de valor en el precio</t>
        </is>
      </c>
      <c r="E584" s="264" t="inlineStr">
        <is>
          <t>La recepción del donativo admite sobrevaluar, subvaluar o fraccionar el precio sin que la contabilidad lo refleje.</t>
        </is>
      </c>
      <c r="F584" s="264" t="inlineStr">
        <is>
          <t>El precio se aparta del valor de referencia, pero existe explicación documentada de la diferencia.</t>
        </is>
      </c>
      <c r="G584" s="264" t="inlineStr">
        <is>
          <t>El precio corresponde al valor de referencia y queda registrado en la contabilidad.</t>
        </is>
      </c>
      <c r="H584" s="444" t="inlineStr">
        <is>
          <t>bandera</t>
        </is>
      </c>
    </row>
    <row r="585" ht="18.75" customHeight="1" s="225">
      <c r="A585" s="264">
        <f>B585&amp;"-"&amp;C585</f>
        <v/>
      </c>
      <c r="B585" s="442" t="inlineStr">
        <is>
          <t>XIII - Recepción de donativos</t>
        </is>
      </c>
      <c r="C585" s="443" t="n">
        <v>5</v>
      </c>
      <c r="D585" s="264" t="inlineStr">
        <is>
          <t>Exposición a personas señaladas por terrorismo</t>
        </is>
      </c>
      <c r="E585" s="264" t="inlineStr">
        <is>
          <t>El donante, su beneficiario o su contraparte aparece en listas de sanciones o de organizaciones terroristas.</t>
        </is>
      </c>
      <c r="F585" s="264" t="inlineStr">
        <is>
          <t>Existe un vínculo indirecto —contraparte, domicilio o ruta de los fondos— con una jurisdicción en conflicto o de acción requerida.</t>
        </is>
      </c>
      <c r="G585" s="264" t="inlineStr">
        <is>
          <t>Sin coincidencias ni vínculos con esas listas ni con jurisdicciones en conflicto, con búsqueda documentada.</t>
        </is>
      </c>
      <c r="H585" s="444" t="inlineStr">
        <is>
          <t>campo</t>
        </is>
      </c>
    </row>
    <row r="586" ht="18.75" customHeight="1" s="225">
      <c r="A586" s="264">
        <f>B586&amp;"-"&amp;C586</f>
        <v/>
      </c>
      <c r="B586" s="442" t="inlineStr">
        <is>
          <t>XIII - Recepción de donativos</t>
        </is>
      </c>
      <c r="C586" s="443" t="n">
        <v>6</v>
      </c>
      <c r="D586" s="264" t="inlineStr">
        <is>
          <t>Tipo de persona</t>
        </is>
      </c>
      <c r="E586" s="264" t="inlineStr">
        <is>
          <t>El donante es un fideicomiso u otro vehículo sin personalidad jurídica propia. No hay un titular único: la figura permite que quien aporta el donativo y de dónde salió sean personas distintas y que ninguna aparezca en el contrato.</t>
        </is>
      </c>
      <c r="F586" s="264" t="inlineStr">
        <is>
          <t>El donante es persona moral. La voluntad se forma en órganos y la propiedad está en socios, así que hay que llegar al Beneficiario Controlador para saber quién está realmente detrás.</t>
        </is>
      </c>
      <c r="G586" s="264" t="inlineStr">
        <is>
          <t>El donante es persona física. Coincide quien aporta el donativo y de dónde salió, y la identificación es directa contra un solo expediente.</t>
        </is>
      </c>
      <c r="H586" s="444" t="inlineStr">
        <is>
          <t>campo</t>
        </is>
      </c>
    </row>
    <row r="587" ht="18.75" customHeight="1" s="225">
      <c r="A587" s="264">
        <f>B587&amp;"-"&amp;C587</f>
        <v/>
      </c>
      <c r="B587" s="442" t="inlineStr">
        <is>
          <t>XIII - Recepción de donativos</t>
        </is>
      </c>
      <c r="C587" s="443" t="n">
        <v>7</v>
      </c>
      <c r="D587" s="264" t="inlineStr">
        <is>
          <t>Antigüedad del Cliente</t>
        </is>
      </c>
      <c r="E587" s="264" t="inlineStr">
        <is>
          <t>Persona moral constituida hace menos de dos años, o persona física menor de veintitrés años.</t>
        </is>
      </c>
      <c r="F587" s="264" t="inlineStr">
        <is>
          <t>Persona moral constituida hace entre dos y cinco años.</t>
        </is>
      </c>
      <c r="G587" s="264" t="inlineStr">
        <is>
          <t>Persona moral con más de cinco años de constituida, o persona física de veintitrés años en adelante.</t>
        </is>
      </c>
      <c r="H587" s="444" t="inlineStr">
        <is>
          <t>campo</t>
        </is>
      </c>
    </row>
    <row r="588" ht="18.75" customHeight="1" s="225">
      <c r="A588" s="264">
        <f>B588&amp;"-"&amp;C588</f>
        <v/>
      </c>
      <c r="B588" s="442" t="inlineStr">
        <is>
          <t>XIII - Recepción de donativos</t>
        </is>
      </c>
      <c r="C588" s="443" t="n">
        <v>8</v>
      </c>
      <c r="D588" s="264" t="inlineStr">
        <is>
          <t>Giro o actividad declarada</t>
        </is>
      </c>
      <c r="E588" s="264" t="inlineStr">
        <is>
          <t>El giro que declara el donante es a su vez una Actividad Vulnerable del artículo 17, o no se acredita con documento alguno.</t>
        </is>
      </c>
      <c r="F588" s="264" t="inlineStr">
        <is>
          <t>El giro se declara y se acredita sólo de forma parcial.</t>
        </is>
      </c>
      <c r="G588" s="264" t="inlineStr">
        <is>
          <t>El giro se acredita con documento: constancia de situación fiscal, acta constitutiva o comprobante de empleo.</t>
        </is>
      </c>
      <c r="H588" s="444" t="inlineStr">
        <is>
          <t>campo</t>
        </is>
      </c>
    </row>
    <row r="589" ht="18.75" customHeight="1" s="225">
      <c r="A589" s="264">
        <f>B589&amp;"-"&amp;C589</f>
        <v/>
      </c>
      <c r="B589" s="442" t="inlineStr">
        <is>
          <t>XIII - Recepción de donativos</t>
        </is>
      </c>
      <c r="C589" s="443" t="n">
        <v>9</v>
      </c>
      <c r="D589" s="264" t="inlineStr">
        <is>
          <t>Nacionalidad</t>
        </is>
      </c>
      <c r="E589" s="264" t="inlineStr">
        <is>
          <t>Nacionalidad de país o jurisdicción señalada por la UIF, o no determinada.</t>
        </is>
      </c>
      <c r="F589" s="264" t="inlineStr">
        <is>
          <t>Nacionalidad extranjera de país sin señalamiento.</t>
        </is>
      </c>
      <c r="G589" s="264" t="inlineStr">
        <is>
          <t>Nacionalidad mexicana.</t>
        </is>
      </c>
      <c r="H589" s="444" t="inlineStr">
        <is>
          <t>campo</t>
        </is>
      </c>
    </row>
    <row r="590" ht="18.75" customHeight="1" s="225">
      <c r="A590" s="264">
        <f>B590&amp;"-"&amp;C590</f>
        <v/>
      </c>
      <c r="B590" s="442" t="inlineStr">
        <is>
          <t>XIII - Recepción de donativos</t>
        </is>
      </c>
      <c r="C590" s="443" t="n">
        <v>10</v>
      </c>
      <c r="D590" s="264" t="inlineStr">
        <is>
          <t>País y entidad de residencia</t>
        </is>
      </c>
      <c r="E590" s="264" t="inlineStr">
        <is>
          <t>Residencia en jurisdicción de régimen fiscal preferente o señalada por deficiencias, o domicilio no verificable.</t>
        </is>
      </c>
      <c r="F590" s="264" t="inlineStr">
        <is>
          <t>Residencia en el extranjero sin señalamiento, o en entidad federativa señalada en la ENR.</t>
        </is>
      </c>
      <c r="G590" s="264" t="inlineStr">
        <is>
          <t>Residencia en México, en entidad federativa sin señalamiento en la ENR.</t>
        </is>
      </c>
      <c r="H590" s="444" t="inlineStr">
        <is>
          <t>campo</t>
        </is>
      </c>
    </row>
    <row r="591" ht="18.75" customHeight="1" s="225">
      <c r="A591" s="264">
        <f>B591&amp;"-"&amp;C591</f>
        <v/>
      </c>
      <c r="B591" s="442" t="inlineStr">
        <is>
          <t>XIII - Recepción de donativos</t>
        </is>
      </c>
      <c r="C591" s="443" t="n">
        <v>11</v>
      </c>
      <c r="D591" s="264" t="inlineStr">
        <is>
          <t>Condición de Persona Políticamente Expuesta</t>
        </is>
      </c>
      <c r="E591" s="264" t="inlineStr">
        <is>
          <t>Persona Políticamente Expuesta extranjera, o nacional cuyo comportamiento transaccional no corresponde con sus ingresos y funciones.</t>
        </is>
      </c>
      <c r="F591" s="264" t="inlineStr">
        <is>
          <t>Persona Políticamente Expuesta nacional con comportamiento congruente, o familiar o allegado de una.</t>
        </is>
      </c>
      <c r="G591" s="264" t="inlineStr">
        <is>
          <t>Sin condición de Persona Políticamente Expuesta, con búsqueda documentada.</t>
        </is>
      </c>
      <c r="H591" s="444" t="inlineStr">
        <is>
          <t>campo</t>
        </is>
      </c>
    </row>
    <row r="592" ht="18.75" customHeight="1" s="225">
      <c r="A592" s="264">
        <f>B592&amp;"-"&amp;C592</f>
        <v/>
      </c>
      <c r="B592" s="442" t="inlineStr">
        <is>
          <t>XIII - Recepción de donativos</t>
        </is>
      </c>
      <c r="C592" s="443" t="n">
        <v>12</v>
      </c>
      <c r="D592" s="264" t="inlineStr">
        <is>
          <t>Resultado de la búsqueda en listas</t>
        </is>
      </c>
      <c r="E592" s="264" t="inlineStr">
        <is>
          <t>Coincidencia positiva en listas de personas bloqueadas o de sanciones, o búsqueda no realizada o sin constancia.</t>
        </is>
      </c>
      <c r="F592" s="264" t="inlineStr">
        <is>
          <t>Coincidencia descartada por homonimia acreditada, con constancia.</t>
        </is>
      </c>
      <c r="G592" s="264" t="inlineStr">
        <is>
          <t>Sin coincidencia, con constancia de la búsqueda y su fecha.</t>
        </is>
      </c>
      <c r="H592" s="444" t="inlineStr">
        <is>
          <t>campo</t>
        </is>
      </c>
    </row>
    <row r="593" ht="18.75" customHeight="1" s="225">
      <c r="A593" s="264">
        <f>B593&amp;"-"&amp;C593</f>
        <v/>
      </c>
      <c r="B593" s="442" t="inlineStr">
        <is>
          <t>XIII - Recepción de donativos</t>
        </is>
      </c>
      <c r="C593" s="443" t="n">
        <v>13</v>
      </c>
      <c r="D593" s="264" t="inlineStr">
        <is>
          <t>Profundidad de la cadena de control</t>
        </is>
      </c>
      <c r="E593" s="264" t="inlineStr">
        <is>
          <t>No se logra identificar al Beneficiario Controlador de el donante, o la cadena no es acreditable.</t>
        </is>
      </c>
      <c r="F593" s="264" t="inlineStr">
        <is>
          <t>El Beneficiario Controlador se identifica atravesando dos o más niveles societarios o fiduciarios.</t>
        </is>
      </c>
      <c r="G593" s="264" t="inlineStr">
        <is>
          <t>El Beneficiario Controlador se identifica en un solo nivel, o el donante es su propio beneficiario.</t>
        </is>
      </c>
      <c r="H593" s="444" t="inlineStr">
        <is>
          <t>calculado</t>
        </is>
      </c>
    </row>
    <row r="594" ht="18.75" customHeight="1" s="225">
      <c r="A594" s="264">
        <f>B594&amp;"-"&amp;C594</f>
        <v/>
      </c>
      <c r="B594" s="442" t="inlineStr">
        <is>
          <t>XIII - Recepción de donativos</t>
        </is>
      </c>
      <c r="C594" s="443" t="n">
        <v>14</v>
      </c>
      <c r="D594" s="264" t="inlineStr">
        <is>
          <t>País donde se realiza la operación</t>
        </is>
      </c>
      <c r="E594" s="264" t="inlineStr">
        <is>
          <t>La recepción del donativo se pacta con o desde una jurisdicción de alto riesgo o no cooperante.</t>
        </is>
      </c>
      <c r="F594" s="264" t="inlineStr">
        <is>
          <t>La recepción del donativo se pacta con una jurisdicción extranjera sin señalamiento.</t>
        </is>
      </c>
      <c r="G594" s="264" t="inlineStr">
        <is>
          <t>La recepción del donativo se realiza íntegramente en México.</t>
        </is>
      </c>
      <c r="H594" s="444" t="inlineStr">
        <is>
          <t>campo</t>
        </is>
      </c>
    </row>
    <row r="595" ht="18.75" customHeight="1" s="225">
      <c r="A595" s="264">
        <f>B595&amp;"-"&amp;C595</f>
        <v/>
      </c>
      <c r="B595" s="442" t="inlineStr">
        <is>
          <t>XIII - Recepción de donativos</t>
        </is>
      </c>
      <c r="C595" s="443" t="n">
        <v>15</v>
      </c>
      <c r="D595" s="264" t="inlineStr">
        <is>
          <t>Entidad o municipio de la operación</t>
        </is>
      </c>
      <c r="E595" s="264" t="inlineStr">
        <is>
          <t>La recepción del donativo ocurre en un municipio o zona identificada de alto riesgo.</t>
        </is>
      </c>
      <c r="F595" s="264" t="inlineStr">
        <is>
          <t>La recepción del donativo ocurre en una entidad federativa con señalamiento en la ENR.</t>
        </is>
      </c>
      <c r="G595" s="264" t="inlineStr">
        <is>
          <t>La recepción del donativo ocurre en una entidad federativa sin señalamiento en la ENR.</t>
        </is>
      </c>
      <c r="H595" s="444" t="inlineStr">
        <is>
          <t>campo</t>
        </is>
      </c>
    </row>
    <row r="596" ht="18.75" customHeight="1" s="225">
      <c r="A596" s="264">
        <f>B596&amp;"-"&amp;C596</f>
        <v/>
      </c>
      <c r="B596" s="442" t="inlineStr">
        <is>
          <t>XIII - Recepción de donativos</t>
        </is>
      </c>
      <c r="C596" s="443" t="n">
        <v>16</v>
      </c>
      <c r="D596" s="264" t="inlineStr">
        <is>
          <t>Vínculo con jurisdicción sancionada o de acción requerida</t>
        </is>
      </c>
      <c r="E596" s="264" t="inlineStr">
        <is>
          <t>Hay exposición directa a una jurisdicción sancionada, en conflicto armado o de acción requerida del GAFI.</t>
        </is>
      </c>
      <c r="F596" s="264" t="inlineStr">
        <is>
          <t>La exposición es indirecta: una contraparte o la ruta de los fondos toca esa jurisdicción.</t>
        </is>
      </c>
      <c r="G596" s="264" t="inlineStr">
        <is>
          <t>Sin exposición a jurisdicciones sancionadas, en conflicto ni de acción requerida.</t>
        </is>
      </c>
      <c r="H596" s="444" t="inlineStr">
        <is>
          <t>campo</t>
        </is>
      </c>
    </row>
    <row r="597" ht="18.75" customHeight="1" s="225">
      <c r="A597" s="264">
        <f>B597&amp;"-"&amp;C597</f>
        <v/>
      </c>
      <c r="B597" s="442" t="inlineStr">
        <is>
          <t>XIII - Recepción de donativos</t>
        </is>
      </c>
      <c r="C597" s="443" t="n">
        <v>17</v>
      </c>
      <c r="D597" s="264" t="inlineStr">
        <is>
          <t>Coincidencia entre domicilio y lugar de la operación</t>
        </is>
      </c>
      <c r="E597" s="264" t="inlineStr">
        <is>
          <t>El domicilio de el donante y el lugar de la recepción del donativo no coinciden, y no hay explicación documentada.</t>
        </is>
      </c>
      <c r="F597" s="264" t="inlineStr">
        <is>
          <t>No coinciden, pero consta por escrito la razón de operar en ese lugar.</t>
        </is>
      </c>
      <c r="G597" s="264" t="inlineStr">
        <is>
          <t>El domicilio de el donante y el lugar de la recepción del donativo coinciden.</t>
        </is>
      </c>
      <c r="H597" s="444" t="inlineStr">
        <is>
          <t>calculado</t>
        </is>
      </c>
    </row>
    <row r="598" ht="18.75" customHeight="1" s="225">
      <c r="A598" s="264">
        <f>B598&amp;"-"&amp;C598</f>
        <v/>
      </c>
      <c r="B598" s="442" t="inlineStr">
        <is>
          <t>XIII - Recepción de donativos</t>
        </is>
      </c>
      <c r="C598" s="443" t="n">
        <v>18</v>
      </c>
      <c r="D598" s="264" t="inlineStr">
        <is>
          <t>Instrumento con que se paga</t>
        </is>
      </c>
      <c r="E598" s="264" t="inlineStr">
        <is>
          <t>Efectivo por encima de tu umbral interno, instrumento al portador, o pago en especie.</t>
        </is>
      </c>
      <c r="F598" s="264" t="inlineStr">
        <is>
          <t>Pago mixto, con un componente en efectivo por debajo de tu umbral interno.</t>
        </is>
      </c>
      <c r="G598" s="264" t="inlineStr">
        <is>
          <t>Transferencia electrónica o cheque nominativo desde una cuenta a nombre de el donante.</t>
        </is>
      </c>
      <c r="H598" s="444" t="inlineStr">
        <is>
          <t>campo</t>
        </is>
      </c>
    </row>
    <row r="599" ht="18.75" customHeight="1" s="225">
      <c r="A599" s="264">
        <f>B599&amp;"-"&amp;C599</f>
        <v/>
      </c>
      <c r="B599" s="442" t="inlineStr">
        <is>
          <t>XIII - Recepción de donativos</t>
        </is>
      </c>
      <c r="C599" s="443" t="n">
        <v>19</v>
      </c>
      <c r="D599" s="264" t="inlineStr">
        <is>
          <t>Moneda de la operación</t>
        </is>
      </c>
      <c r="E599" s="264" t="inlineStr">
        <is>
          <t>Divisa distinta del dólar estadounidense y del euro, o activo virtual.</t>
        </is>
      </c>
      <c r="F599" s="264" t="inlineStr">
        <is>
          <t>Dólar estadounidense o euro, con soporte documental.</t>
        </is>
      </c>
      <c r="G599" s="264" t="inlineStr">
        <is>
          <t>Peso mexicano.</t>
        </is>
      </c>
      <c r="H599" s="444" t="inlineStr">
        <is>
          <t>campo</t>
        </is>
      </c>
    </row>
    <row r="600" ht="18.75" customHeight="1" s="225">
      <c r="A600" s="264">
        <f>B600&amp;"-"&amp;C600</f>
        <v/>
      </c>
      <c r="B600" s="442" t="inlineStr">
        <is>
          <t>XIII - Recepción de donativos</t>
        </is>
      </c>
      <c r="C600" s="443" t="n">
        <v>20</v>
      </c>
      <c r="D600" s="264" t="inlineStr">
        <is>
          <t>Monto frente al umbral de tu fracción</t>
        </is>
      </c>
      <c r="E600" s="264" t="inlineStr">
        <is>
          <t>La recepción del donativo iguala o supera el umbral de Aviso de tu fracción del artículo 17.</t>
        </is>
      </c>
      <c r="F600" s="264" t="inlineStr">
        <is>
          <t>La recepción del donativo se sitúa entre el umbral de identificación y el de Aviso.</t>
        </is>
      </c>
      <c r="G600" s="264" t="inlineStr">
        <is>
          <t>La recepción del donativo queda por debajo del umbral de identificación.</t>
        </is>
      </c>
      <c r="H600" s="444" t="inlineStr">
        <is>
          <t>calculado</t>
        </is>
      </c>
    </row>
    <row r="601" ht="18.75" customHeight="1" s="225">
      <c r="A601" s="264">
        <f>B601&amp;"-"&amp;C601</f>
        <v/>
      </c>
      <c r="B601" s="442" t="inlineStr">
        <is>
          <t>XIII - Recepción de donativos</t>
        </is>
      </c>
      <c r="C601" s="443" t="n">
        <v>21</v>
      </c>
      <c r="D601" s="264" t="inlineStr">
        <is>
          <t>Número y ritmo de operaciones en el periodo</t>
        </is>
      </c>
      <c r="E601" s="264" t="inlineStr">
        <is>
          <t>El donante realiza cinco o más operaciones al año, o varias en intervalos cortos y regulares.</t>
        </is>
      </c>
      <c r="F601" s="264" t="inlineStr">
        <is>
          <t>El donante realiza entre dos y cuatro operaciones al año.</t>
        </is>
      </c>
      <c r="G601" s="264" t="inlineStr">
        <is>
          <t>El donante realiza una sola operación en el periodo.</t>
        </is>
      </c>
      <c r="H601" s="444" t="inlineStr">
        <is>
          <t>calculado</t>
        </is>
      </c>
    </row>
    <row r="602" ht="18.75" customHeight="1" s="225">
      <c r="A602" s="264">
        <f>B602&amp;"-"&amp;C602</f>
        <v/>
      </c>
      <c r="B602" s="442" t="inlineStr">
        <is>
          <t>XIII - Recepción de donativos</t>
        </is>
      </c>
      <c r="C602" s="443" t="n">
        <v>22</v>
      </c>
      <c r="D602" s="264" t="inlineStr">
        <is>
          <t>Canal: certeza de identificación del Cliente</t>
        </is>
      </c>
      <c r="E602" s="264" t="inlineStr">
        <is>
          <t>La operación llega por un gestor, plataforma o intermediario no acreditado: nadie responde por la identificación de el donante, y quien opera puede no ser quien dice ser.</t>
        </is>
      </c>
      <c r="F602" s="264" t="inlineStr">
        <is>
          <t>Se identifica a el donante de forma remota con verificación documental, o a través de un promotor o representante propio con contrato y responsable señalado.</t>
        </is>
      </c>
      <c r="G602" s="264" t="inlineStr">
        <is>
          <t>El donante comparece de forma directa, o se le identifica en remoto con biometría y prueba de vida.</t>
        </is>
      </c>
      <c r="H602" s="444" t="inlineStr">
        <is>
          <t>campo</t>
        </is>
      </c>
    </row>
    <row r="603" ht="18.75" customHeight="1" s="225">
      <c r="A603" s="264">
        <f>B603&amp;"-"&amp;C603</f>
        <v/>
      </c>
      <c r="B603" s="442" t="inlineStr">
        <is>
          <t>XIII - Recepción de donativos</t>
        </is>
      </c>
      <c r="C603" s="443" t="n">
        <v>23</v>
      </c>
      <c r="D603" s="264" t="inlineStr">
        <is>
          <t>Acreditación del origen de los recursos</t>
        </is>
      </c>
      <c r="E603" s="264" t="inlineStr">
        <is>
          <t>El origen de los recursos se declara sin soporte documental, o no se manifiesta.</t>
        </is>
      </c>
      <c r="F603" s="264" t="inlineStr">
        <is>
          <t>El origen se declara y se acredita sólo de forma parcial.</t>
        </is>
      </c>
      <c r="G603" s="264" t="inlineStr">
        <is>
          <t>El origen se acredita con documentación verificable.</t>
        </is>
      </c>
      <c r="H603" s="444" t="inlineStr">
        <is>
          <t>bandera</t>
        </is>
      </c>
    </row>
    <row r="604" ht="18.75" customHeight="1" s="225">
      <c r="A604" s="264">
        <f>B604&amp;"-"&amp;C604</f>
        <v/>
      </c>
      <c r="B604" s="442" t="inlineStr">
        <is>
          <t>XIII - Recepción de donativos</t>
        </is>
      </c>
      <c r="C604" s="443" t="n">
        <v>24</v>
      </c>
      <c r="D604" s="264" t="inlineStr">
        <is>
          <t>Acreditación del destino de los recursos o del bien</t>
        </is>
      </c>
      <c r="E604" s="264" t="inlineStr">
        <is>
          <t>El destino no se manifiesta, o los recursos o el donativo pasan a un tercero no relacionado con el donante.</t>
        </is>
      </c>
      <c r="F604" s="264" t="inlineStr">
        <is>
          <t>El destino se declara y es verificable.</t>
        </is>
      </c>
      <c r="G604" s="264" t="inlineStr">
        <is>
          <t>El destino es el donativo mismo, y queda registrado en la operación.</t>
        </is>
      </c>
      <c r="H604" s="444" t="inlineStr">
        <is>
          <t>bandera</t>
        </is>
      </c>
    </row>
    <row r="605" ht="18.75" customHeight="1" s="225">
      <c r="A605" s="264">
        <f>B605&amp;"-"&amp;C605</f>
        <v/>
      </c>
      <c r="B605" s="442" t="inlineStr">
        <is>
          <t>XIII - Recepción de donativos</t>
        </is>
      </c>
      <c r="C605" s="443" t="n">
        <v>25</v>
      </c>
      <c r="D605" s="264" t="inlineStr">
        <is>
          <t>Combinación de canal e instrumento idónea para el financiamiento al terrorismo</t>
        </is>
      </c>
      <c r="E605" s="264" t="inlineStr">
        <is>
          <t>La recepción del donativo combina contratación a distancia sin verificación reforzada con pagos en efectivo o instrumentos al portador.</t>
        </is>
      </c>
      <c r="F605" s="264" t="inlineStr">
        <is>
          <t>Concurre uno solo de los dos: o la contratación remota sin verificación reforzada, o el pago en instrumento no bancarizado.</t>
        </is>
      </c>
      <c r="G605" s="264" t="inlineStr">
        <is>
          <t>Ni la forma de contratar ni la de pagar permiten mover valor de forma anónima.</t>
        </is>
      </c>
      <c r="H605" s="444" t="inlineStr">
        <is>
          <t>bandera</t>
        </is>
      </c>
    </row>
    <row r="606" ht="18.75" customHeight="1" s="225">
      <c r="A606" s="264">
        <f>B606&amp;"-"&amp;C606</f>
        <v/>
      </c>
      <c r="B606" s="442" t="inlineStr">
        <is>
          <t>XIV - CEXT: Joyas, metales, piedras preciosas</t>
        </is>
      </c>
      <c r="C606" s="443" t="n">
        <v>1</v>
      </c>
      <c r="D606" s="264" t="inlineStr">
        <is>
          <t>Valor unitario de la operación</t>
        </is>
      </c>
      <c r="E606" s="264" t="inlineStr">
        <is>
          <t>La pieza tiene un valor unitario muy por encima del ticket promedio de tu operación de doce meses.</t>
        </is>
      </c>
      <c r="F606" s="264" t="inlineStr">
        <is>
          <t>La pieza tiene un valor unitario dentro del rango habitual de tu operación.</t>
        </is>
      </c>
      <c r="G606" s="264" t="inlineStr">
        <is>
          <t>La pieza tiene un valor unitario por debajo de tu ticket promedio.</t>
        </is>
      </c>
      <c r="H606" s="444" t="inlineStr">
        <is>
          <t>calculado</t>
        </is>
      </c>
    </row>
    <row r="607" ht="18.75" customHeight="1" s="225">
      <c r="A607" s="264">
        <f>B607&amp;"-"&amp;C607</f>
        <v/>
      </c>
      <c r="B607" s="442" t="inlineStr">
        <is>
          <t>XIV - CEXT: Joyas, metales, piedras preciosas</t>
        </is>
      </c>
      <c r="C607" s="443" t="n">
        <v>2</v>
      </c>
      <c r="D607" s="264" t="inlineStr">
        <is>
          <t>Liquidez: facilidad de convertir en dinero</t>
        </is>
      </c>
      <c r="E607" s="264" t="inlineStr">
        <is>
          <t>La pieza puede revenderse o cederse de inmediato y prácticamente a su valor íntegro.</t>
        </is>
      </c>
      <c r="F607" s="264" t="inlineStr">
        <is>
          <t>La pieza puede revenderse, pero con trámite, plazo o pérdida de valor apreciable.</t>
        </is>
      </c>
      <c r="G607" s="264" t="inlineStr">
        <is>
          <t>La pieza es difícil de revender: exige formalidades o registro, o pierde valor de forma significativa.</t>
        </is>
      </c>
      <c r="H607" s="444" t="inlineStr">
        <is>
          <t>bandera</t>
        </is>
      </c>
    </row>
    <row r="608" ht="18.75" customHeight="1" s="225">
      <c r="A608" s="264">
        <f>B608&amp;"-"&amp;C608</f>
        <v/>
      </c>
      <c r="B608" s="442" t="inlineStr">
        <is>
          <t>XIV - CEXT: Joyas, metales, piedras preciosas</t>
        </is>
      </c>
      <c r="C608" s="443" t="n">
        <v>3</v>
      </c>
      <c r="D608" s="264" t="inlineStr">
        <is>
          <t>Anonimato: si el beneficiario queda a la vista</t>
        </is>
      </c>
      <c r="E608" s="264" t="inlineStr">
        <is>
          <t>La operación de comercio exterior admite que quien aparece no sea quien recibe el beneficio, sin que quede registro de quién es el beneficiario final.</t>
        </is>
      </c>
      <c r="F608" s="264" t="inlineStr">
        <is>
          <t>Se identifica a el comprador, pero el beneficiario final se declara sin documento que lo respalde.</t>
        </is>
      </c>
      <c r="G608" s="264" t="inlineStr">
        <is>
          <t>El comprador y el beneficiario final coinciden, y ambos constan en el expediente.</t>
        </is>
      </c>
      <c r="H608" s="444" t="inlineStr">
        <is>
          <t>bandera</t>
        </is>
      </c>
    </row>
    <row r="609" ht="18.75" customHeight="1" s="225">
      <c r="A609" s="264">
        <f>B609&amp;"-"&amp;C609</f>
        <v/>
      </c>
      <c r="B609" s="442" t="inlineStr">
        <is>
          <t>XIV - CEXT: Joyas, metales, piedras preciosas</t>
        </is>
      </c>
      <c r="C609" s="443" t="n">
        <v>4</v>
      </c>
      <c r="D609" s="264" t="inlineStr">
        <is>
          <t>Ocultamiento de valor en el precio</t>
        </is>
      </c>
      <c r="E609" s="264" t="inlineStr">
        <is>
          <t>La operación de comercio exterior admite sobrevaluar, subvaluar o fraccionar el precio sin que la contabilidad lo refleje.</t>
        </is>
      </c>
      <c r="F609" s="264" t="inlineStr">
        <is>
          <t>El precio se aparta del valor de referencia, pero existe explicación documentada de la diferencia.</t>
        </is>
      </c>
      <c r="G609" s="264" t="inlineStr">
        <is>
          <t>El precio corresponde al valor de referencia y queda registrado en la contabilidad.</t>
        </is>
      </c>
      <c r="H609" s="444" t="inlineStr">
        <is>
          <t>bandera</t>
        </is>
      </c>
    </row>
    <row r="610" ht="18.75" customHeight="1" s="225">
      <c r="A610" s="264">
        <f>B610&amp;"-"&amp;C610</f>
        <v/>
      </c>
      <c r="B610" s="442" t="inlineStr">
        <is>
          <t>XIV - CEXT: Joyas, metales, piedras preciosas</t>
        </is>
      </c>
      <c r="C610" s="443" t="n">
        <v>5</v>
      </c>
      <c r="D610" s="264" t="inlineStr">
        <is>
          <t>Exposición a personas señaladas por terrorismo</t>
        </is>
      </c>
      <c r="E610" s="264" t="inlineStr">
        <is>
          <t>El comprador, su beneficiario o su contraparte aparece en listas de sanciones o de organizaciones terroristas.</t>
        </is>
      </c>
      <c r="F610" s="264" t="inlineStr">
        <is>
          <t>Existe un vínculo indirecto —contraparte, domicilio o ruta de los fondos— con una jurisdicción en conflicto o de acción requerida.</t>
        </is>
      </c>
      <c r="G610" s="264" t="inlineStr">
        <is>
          <t>Sin coincidencias ni vínculos con esas listas ni con jurisdicciones en conflicto, con búsqueda documentada.</t>
        </is>
      </c>
      <c r="H610" s="444" t="inlineStr">
        <is>
          <t>campo</t>
        </is>
      </c>
    </row>
    <row r="611" ht="18.75" customHeight="1" s="225">
      <c r="A611" s="264">
        <f>B611&amp;"-"&amp;C611</f>
        <v/>
      </c>
      <c r="B611" s="442" t="inlineStr">
        <is>
          <t>XIV - CEXT: Joyas, metales, piedras preciosas</t>
        </is>
      </c>
      <c r="C611" s="443" t="n">
        <v>6</v>
      </c>
      <c r="D611" s="264" t="inlineStr">
        <is>
          <t>Tipo de persona</t>
        </is>
      </c>
      <c r="E611" s="264" t="inlineStr">
        <is>
          <t>El comprador de la pieza es un fideicomiso u otro vehículo sin personalidad jurídica propia. No hay un titular único: la figura permite que quien paga y quien se lleva el bien sean personas distintas y que ninguna aparezca en el contrato.</t>
        </is>
      </c>
      <c r="F611" s="264" t="inlineStr">
        <is>
          <t>El comprador de la pieza es persona moral. La voluntad se forma en órganos y la propiedad está en socios, así que hay que llegar al Beneficiario Controlador para saber quién está realmente detrás.</t>
        </is>
      </c>
      <c r="G611" s="264" t="inlineStr">
        <is>
          <t>El comprador de la pieza es persona física. Coincide quien paga y quien se lleva el bien, y la identificación es directa contra un solo expediente.</t>
        </is>
      </c>
      <c r="H611" s="444" t="inlineStr">
        <is>
          <t>campo</t>
        </is>
      </c>
    </row>
    <row r="612" ht="18.75" customHeight="1" s="225">
      <c r="A612" s="264">
        <f>B612&amp;"-"&amp;C612</f>
        <v/>
      </c>
      <c r="B612" s="442" t="inlineStr">
        <is>
          <t>XIV - CEXT: Joyas, metales, piedras preciosas</t>
        </is>
      </c>
      <c r="C612" s="443" t="n">
        <v>7</v>
      </c>
      <c r="D612" s="264" t="inlineStr">
        <is>
          <t>Antigüedad del Cliente</t>
        </is>
      </c>
      <c r="E612" s="264" t="inlineStr">
        <is>
          <t>Persona moral constituida hace menos de dos años, o persona física menor de veintitrés años.</t>
        </is>
      </c>
      <c r="F612" s="264" t="inlineStr">
        <is>
          <t>Persona moral constituida hace entre dos y cinco años.</t>
        </is>
      </c>
      <c r="G612" s="264" t="inlineStr">
        <is>
          <t>Persona moral con más de cinco años de constituida, o persona física de veintitrés años en adelante.</t>
        </is>
      </c>
      <c r="H612" s="444" t="inlineStr">
        <is>
          <t>campo</t>
        </is>
      </c>
    </row>
    <row r="613" ht="18.75" customHeight="1" s="225">
      <c r="A613" s="264">
        <f>B613&amp;"-"&amp;C613</f>
        <v/>
      </c>
      <c r="B613" s="442" t="inlineStr">
        <is>
          <t>XIV - CEXT: Joyas, metales, piedras preciosas</t>
        </is>
      </c>
      <c r="C613" s="443" t="n">
        <v>8</v>
      </c>
      <c r="D613" s="264" t="inlineStr">
        <is>
          <t>Giro o actividad declarada</t>
        </is>
      </c>
      <c r="E613" s="264" t="inlineStr">
        <is>
          <t>El giro que declara el comprador es a su vez una Actividad Vulnerable del artículo 17, o no se acredita con documento alguno.</t>
        </is>
      </c>
      <c r="F613" s="264" t="inlineStr">
        <is>
          <t>El giro se declara y se acredita sólo de forma parcial.</t>
        </is>
      </c>
      <c r="G613" s="264" t="inlineStr">
        <is>
          <t>El giro se acredita con documento: constancia de situación fiscal, acta constitutiva o comprobante de empleo.</t>
        </is>
      </c>
      <c r="H613" s="444" t="inlineStr">
        <is>
          <t>campo</t>
        </is>
      </c>
    </row>
    <row r="614" ht="18.75" customHeight="1" s="225">
      <c r="A614" s="264">
        <f>B614&amp;"-"&amp;C614</f>
        <v/>
      </c>
      <c r="B614" s="442" t="inlineStr">
        <is>
          <t>XIV - CEXT: Joyas, metales, piedras preciosas</t>
        </is>
      </c>
      <c r="C614" s="443" t="n">
        <v>9</v>
      </c>
      <c r="D614" s="264" t="inlineStr">
        <is>
          <t>Nacionalidad</t>
        </is>
      </c>
      <c r="E614" s="264" t="inlineStr">
        <is>
          <t>Nacionalidad de país o jurisdicción señalada por la UIF, o no determinada.</t>
        </is>
      </c>
      <c r="F614" s="264" t="inlineStr">
        <is>
          <t>Nacionalidad extranjera de país sin señalamiento.</t>
        </is>
      </c>
      <c r="G614" s="264" t="inlineStr">
        <is>
          <t>Nacionalidad mexicana.</t>
        </is>
      </c>
      <c r="H614" s="444" t="inlineStr">
        <is>
          <t>campo</t>
        </is>
      </c>
    </row>
    <row r="615" ht="18.75" customHeight="1" s="225">
      <c r="A615" s="264">
        <f>B615&amp;"-"&amp;C615</f>
        <v/>
      </c>
      <c r="B615" s="442" t="inlineStr">
        <is>
          <t>XIV - CEXT: Joyas, metales, piedras preciosas</t>
        </is>
      </c>
      <c r="C615" s="443" t="n">
        <v>10</v>
      </c>
      <c r="D615" s="264" t="inlineStr">
        <is>
          <t>País y entidad de residencia</t>
        </is>
      </c>
      <c r="E615" s="264" t="inlineStr">
        <is>
          <t>Residencia en jurisdicción de régimen fiscal preferente o señalada por deficiencias, o domicilio no verificable.</t>
        </is>
      </c>
      <c r="F615" s="264" t="inlineStr">
        <is>
          <t>Residencia en el extranjero sin señalamiento, o en entidad federativa señalada en la ENR.</t>
        </is>
      </c>
      <c r="G615" s="264" t="inlineStr">
        <is>
          <t>Residencia en México, en entidad federativa sin señalamiento en la ENR.</t>
        </is>
      </c>
      <c r="H615" s="444" t="inlineStr">
        <is>
          <t>campo</t>
        </is>
      </c>
    </row>
    <row r="616" ht="18.75" customHeight="1" s="225">
      <c r="A616" s="264">
        <f>B616&amp;"-"&amp;C616</f>
        <v/>
      </c>
      <c r="B616" s="442" t="inlineStr">
        <is>
          <t>XIV - CEXT: Joyas, metales, piedras preciosas</t>
        </is>
      </c>
      <c r="C616" s="443" t="n">
        <v>11</v>
      </c>
      <c r="D616" s="264" t="inlineStr">
        <is>
          <t>Condición de Persona Políticamente Expuesta</t>
        </is>
      </c>
      <c r="E616" s="264" t="inlineStr">
        <is>
          <t>Persona Políticamente Expuesta extranjera, o nacional cuyo comportamiento transaccional no corresponde con sus ingresos y funciones.</t>
        </is>
      </c>
      <c r="F616" s="264" t="inlineStr">
        <is>
          <t>Persona Políticamente Expuesta nacional con comportamiento congruente, o familiar o allegado de una.</t>
        </is>
      </c>
      <c r="G616" s="264" t="inlineStr">
        <is>
          <t>Sin condición de Persona Políticamente Expuesta, con búsqueda documentada.</t>
        </is>
      </c>
      <c r="H616" s="444" t="inlineStr">
        <is>
          <t>campo</t>
        </is>
      </c>
    </row>
    <row r="617" ht="18.75" customHeight="1" s="225">
      <c r="A617" s="264">
        <f>B617&amp;"-"&amp;C617</f>
        <v/>
      </c>
      <c r="B617" s="442" t="inlineStr">
        <is>
          <t>XIV - CEXT: Joyas, metales, piedras preciosas</t>
        </is>
      </c>
      <c r="C617" s="443" t="n">
        <v>12</v>
      </c>
      <c r="D617" s="264" t="inlineStr">
        <is>
          <t>Resultado de la búsqueda en listas</t>
        </is>
      </c>
      <c r="E617" s="264" t="inlineStr">
        <is>
          <t>Coincidencia positiva en listas de personas bloqueadas o de sanciones, o búsqueda no realizada o sin constancia.</t>
        </is>
      </c>
      <c r="F617" s="264" t="inlineStr">
        <is>
          <t>Coincidencia descartada por homonimia acreditada, con constancia.</t>
        </is>
      </c>
      <c r="G617" s="264" t="inlineStr">
        <is>
          <t>Sin coincidencia, con constancia de la búsqueda y su fecha.</t>
        </is>
      </c>
      <c r="H617" s="444" t="inlineStr">
        <is>
          <t>campo</t>
        </is>
      </c>
    </row>
    <row r="618" ht="18.75" customHeight="1" s="225">
      <c r="A618" s="264">
        <f>B618&amp;"-"&amp;C618</f>
        <v/>
      </c>
      <c r="B618" s="442" t="inlineStr">
        <is>
          <t>XIV - CEXT: Joyas, metales, piedras preciosas</t>
        </is>
      </c>
      <c r="C618" s="443" t="n">
        <v>13</v>
      </c>
      <c r="D618" s="264" t="inlineStr">
        <is>
          <t>Profundidad de la cadena de control</t>
        </is>
      </c>
      <c r="E618" s="264" t="inlineStr">
        <is>
          <t>No se logra identificar al Beneficiario Controlador de el comprador, o la cadena no es acreditable.</t>
        </is>
      </c>
      <c r="F618" s="264" t="inlineStr">
        <is>
          <t>El Beneficiario Controlador se identifica atravesando dos o más niveles societarios o fiduciarios.</t>
        </is>
      </c>
      <c r="G618" s="264" t="inlineStr">
        <is>
          <t>El Beneficiario Controlador se identifica en un solo nivel, o el comprador es su propio beneficiario.</t>
        </is>
      </c>
      <c r="H618" s="444" t="inlineStr">
        <is>
          <t>calculado</t>
        </is>
      </c>
    </row>
    <row r="619" ht="18.75" customHeight="1" s="225">
      <c r="A619" s="264">
        <f>B619&amp;"-"&amp;C619</f>
        <v/>
      </c>
      <c r="B619" s="442" t="inlineStr">
        <is>
          <t>XIV - CEXT: Joyas, metales, piedras preciosas</t>
        </is>
      </c>
      <c r="C619" s="443" t="n">
        <v>14</v>
      </c>
      <c r="D619" s="264" t="inlineStr">
        <is>
          <t>País donde se realiza la operación</t>
        </is>
      </c>
      <c r="E619" s="264" t="inlineStr">
        <is>
          <t>La operación de comercio exterior se pacta con o desde una jurisdicción de alto riesgo o no cooperante.</t>
        </is>
      </c>
      <c r="F619" s="264" t="inlineStr">
        <is>
          <t>La operación de comercio exterior se pacta con una jurisdicción extranjera sin señalamiento.</t>
        </is>
      </c>
      <c r="G619" s="264" t="inlineStr">
        <is>
          <t>La operación de comercio exterior se realiza íntegramente en México.</t>
        </is>
      </c>
      <c r="H619" s="444" t="inlineStr">
        <is>
          <t>campo</t>
        </is>
      </c>
    </row>
    <row r="620" ht="18.75" customHeight="1" s="225">
      <c r="A620" s="264">
        <f>B620&amp;"-"&amp;C620</f>
        <v/>
      </c>
      <c r="B620" s="442" t="inlineStr">
        <is>
          <t>XIV - CEXT: Joyas, metales, piedras preciosas</t>
        </is>
      </c>
      <c r="C620" s="443" t="n">
        <v>15</v>
      </c>
      <c r="D620" s="264" t="inlineStr">
        <is>
          <t>Entidad o municipio de la operación</t>
        </is>
      </c>
      <c r="E620" s="264" t="inlineStr">
        <is>
          <t>La operación de comercio exterior ocurre en un municipio o zona identificada de alto riesgo.</t>
        </is>
      </c>
      <c r="F620" s="264" t="inlineStr">
        <is>
          <t>La operación de comercio exterior ocurre en una entidad federativa con señalamiento en la ENR.</t>
        </is>
      </c>
      <c r="G620" s="264" t="inlineStr">
        <is>
          <t>La operación de comercio exterior ocurre en una entidad federativa sin señalamiento en la ENR.</t>
        </is>
      </c>
      <c r="H620" s="444" t="inlineStr">
        <is>
          <t>campo</t>
        </is>
      </c>
    </row>
    <row r="621" ht="18.75" customHeight="1" s="225">
      <c r="A621" s="264">
        <f>B621&amp;"-"&amp;C621</f>
        <v/>
      </c>
      <c r="B621" s="442" t="inlineStr">
        <is>
          <t>XIV - CEXT: Joyas, metales, piedras preciosas</t>
        </is>
      </c>
      <c r="C621" s="443" t="n">
        <v>16</v>
      </c>
      <c r="D621" s="264" t="inlineStr">
        <is>
          <t>Vínculo con jurisdicción sancionada o de acción requerida</t>
        </is>
      </c>
      <c r="E621" s="264" t="inlineStr">
        <is>
          <t>Hay exposición directa a una jurisdicción sancionada, en conflicto armado o de acción requerida del GAFI.</t>
        </is>
      </c>
      <c r="F621" s="264" t="inlineStr">
        <is>
          <t>La exposición es indirecta: una contraparte o la ruta de los fondos toca esa jurisdicción.</t>
        </is>
      </c>
      <c r="G621" s="264" t="inlineStr">
        <is>
          <t>Sin exposición a jurisdicciones sancionadas, en conflicto ni de acción requerida.</t>
        </is>
      </c>
      <c r="H621" s="444" t="inlineStr">
        <is>
          <t>campo</t>
        </is>
      </c>
    </row>
    <row r="622" ht="18.75" customHeight="1" s="225">
      <c r="A622" s="264">
        <f>B622&amp;"-"&amp;C622</f>
        <v/>
      </c>
      <c r="B622" s="442" t="inlineStr">
        <is>
          <t>XIV - CEXT: Joyas, metales, piedras preciosas</t>
        </is>
      </c>
      <c r="C622" s="443" t="n">
        <v>17</v>
      </c>
      <c r="D622" s="264" t="inlineStr">
        <is>
          <t>Coincidencia entre domicilio y lugar de la operación</t>
        </is>
      </c>
      <c r="E622" s="264" t="inlineStr">
        <is>
          <t>El domicilio de el comprador y el lugar de la operación de comercio exterior no coinciden, y no hay explicación documentada.</t>
        </is>
      </c>
      <c r="F622" s="264" t="inlineStr">
        <is>
          <t>No coinciden, pero consta por escrito la razón de operar en ese lugar.</t>
        </is>
      </c>
      <c r="G622" s="264" t="inlineStr">
        <is>
          <t>El domicilio de el comprador y el lugar de la operación de comercio exterior coinciden.</t>
        </is>
      </c>
      <c r="H622" s="444" t="inlineStr">
        <is>
          <t>calculado</t>
        </is>
      </c>
    </row>
    <row r="623" ht="18.75" customHeight="1" s="225">
      <c r="A623" s="264">
        <f>B623&amp;"-"&amp;C623</f>
        <v/>
      </c>
      <c r="B623" s="442" t="inlineStr">
        <is>
          <t>XIV - CEXT: Joyas, metales, piedras preciosas</t>
        </is>
      </c>
      <c r="C623" s="443" t="n">
        <v>18</v>
      </c>
      <c r="D623" s="264" t="inlineStr">
        <is>
          <t>Instrumento con que se paga</t>
        </is>
      </c>
      <c r="E623" s="264" t="inlineStr">
        <is>
          <t>Efectivo por encima de tu umbral interno, instrumento al portador, o pago en especie.</t>
        </is>
      </c>
      <c r="F623" s="264" t="inlineStr">
        <is>
          <t>Pago mixto, con un componente en efectivo por debajo de tu umbral interno.</t>
        </is>
      </c>
      <c r="G623" s="264" t="inlineStr">
        <is>
          <t>Transferencia electrónica o cheque nominativo desde una cuenta a nombre de el comprador.</t>
        </is>
      </c>
      <c r="H623" s="444" t="inlineStr">
        <is>
          <t>campo</t>
        </is>
      </c>
    </row>
    <row r="624" ht="18.75" customHeight="1" s="225">
      <c r="A624" s="264">
        <f>B624&amp;"-"&amp;C624</f>
        <v/>
      </c>
      <c r="B624" s="442" t="inlineStr">
        <is>
          <t>XIV - CEXT: Joyas, metales, piedras preciosas</t>
        </is>
      </c>
      <c r="C624" s="443" t="n">
        <v>19</v>
      </c>
      <c r="D624" s="264" t="inlineStr">
        <is>
          <t>Moneda de la operación</t>
        </is>
      </c>
      <c r="E624" s="264" t="inlineStr">
        <is>
          <t>Divisa distinta del dólar estadounidense y del euro, o activo virtual.</t>
        </is>
      </c>
      <c r="F624" s="264" t="inlineStr">
        <is>
          <t>Dólar estadounidense o euro, con soporte documental.</t>
        </is>
      </c>
      <c r="G624" s="264" t="inlineStr">
        <is>
          <t>Peso mexicano.</t>
        </is>
      </c>
      <c r="H624" s="444" t="inlineStr">
        <is>
          <t>campo</t>
        </is>
      </c>
    </row>
    <row r="625" ht="18.75" customHeight="1" s="225">
      <c r="A625" s="264">
        <f>B625&amp;"-"&amp;C625</f>
        <v/>
      </c>
      <c r="B625" s="442" t="inlineStr">
        <is>
          <t>XIV - CEXT: Joyas, metales, piedras preciosas</t>
        </is>
      </c>
      <c r="C625" s="443" t="n">
        <v>20</v>
      </c>
      <c r="D625" s="264" t="inlineStr">
        <is>
          <t>Monto frente al umbral de tu fracción</t>
        </is>
      </c>
      <c r="E625" s="264" t="inlineStr">
        <is>
          <t>La operación de comercio exterior iguala o supera el umbral de Aviso de tu fracción del artículo 17.</t>
        </is>
      </c>
      <c r="F625" s="264" t="inlineStr">
        <is>
          <t>La operación de comercio exterior se sitúa entre el umbral de identificación y el de Aviso.</t>
        </is>
      </c>
      <c r="G625" s="264" t="inlineStr">
        <is>
          <t>La operación de comercio exterior queda por debajo del umbral de identificación.</t>
        </is>
      </c>
      <c r="H625" s="444" t="inlineStr">
        <is>
          <t>calculado</t>
        </is>
      </c>
    </row>
    <row r="626" ht="18.75" customHeight="1" s="225">
      <c r="A626" s="264">
        <f>B626&amp;"-"&amp;C626</f>
        <v/>
      </c>
      <c r="B626" s="442" t="inlineStr">
        <is>
          <t>XIV - CEXT: Joyas, metales, piedras preciosas</t>
        </is>
      </c>
      <c r="C626" s="443" t="n">
        <v>21</v>
      </c>
      <c r="D626" s="264" t="inlineStr">
        <is>
          <t>Número y ritmo de operaciones en el periodo</t>
        </is>
      </c>
      <c r="E626" s="264" t="inlineStr">
        <is>
          <t>El comprador realiza cinco o más operaciones al año, o varias en intervalos cortos y regulares.</t>
        </is>
      </c>
      <c r="F626" s="264" t="inlineStr">
        <is>
          <t>El comprador realiza entre dos y cuatro operaciones al año.</t>
        </is>
      </c>
      <c r="G626" s="264" t="inlineStr">
        <is>
          <t>El comprador realiza una sola operación en el periodo.</t>
        </is>
      </c>
      <c r="H626" s="444" t="inlineStr">
        <is>
          <t>calculado</t>
        </is>
      </c>
    </row>
    <row r="627" ht="18.75" customHeight="1" s="225">
      <c r="A627" s="264">
        <f>B627&amp;"-"&amp;C627</f>
        <v/>
      </c>
      <c r="B627" s="442" t="inlineStr">
        <is>
          <t>XIV - CEXT: Joyas, metales, piedras preciosas</t>
        </is>
      </c>
      <c r="C627" s="443" t="n">
        <v>22</v>
      </c>
      <c r="D627" s="264" t="inlineStr">
        <is>
          <t>Canal: certeza de identificación del Cliente</t>
        </is>
      </c>
      <c r="E627" s="264" t="inlineStr">
        <is>
          <t>La operación llega por un gestor, plataforma o intermediario no acreditado: nadie responde por la identificación de el comprador, y quien opera puede no ser quien dice ser.</t>
        </is>
      </c>
      <c r="F627" s="264" t="inlineStr">
        <is>
          <t>Se identifica a el comprador de forma remota con verificación documental, o a través de un promotor o representante propio con contrato y responsable señalado.</t>
        </is>
      </c>
      <c r="G627" s="264" t="inlineStr">
        <is>
          <t>El comprador comparece de forma directa, o se le identifica en remoto con biometría y prueba de vida.</t>
        </is>
      </c>
      <c r="H627" s="444" t="inlineStr">
        <is>
          <t>campo</t>
        </is>
      </c>
    </row>
    <row r="628" ht="18.75" customHeight="1" s="225">
      <c r="A628" s="264">
        <f>B628&amp;"-"&amp;C628</f>
        <v/>
      </c>
      <c r="B628" s="442" t="inlineStr">
        <is>
          <t>XIV - CEXT: Joyas, metales, piedras preciosas</t>
        </is>
      </c>
      <c r="C628" s="443" t="n">
        <v>23</v>
      </c>
      <c r="D628" s="264" t="inlineStr">
        <is>
          <t>Acreditación del origen de los recursos</t>
        </is>
      </c>
      <c r="E628" s="264" t="inlineStr">
        <is>
          <t>El origen de los recursos se declara sin soporte documental, o no se manifiesta.</t>
        </is>
      </c>
      <c r="F628" s="264" t="inlineStr">
        <is>
          <t>El origen se declara y se acredita sólo de forma parcial.</t>
        </is>
      </c>
      <c r="G628" s="264" t="inlineStr">
        <is>
          <t>El origen se acredita con documentación verificable.</t>
        </is>
      </c>
      <c r="H628" s="444" t="inlineStr">
        <is>
          <t>bandera</t>
        </is>
      </c>
    </row>
    <row r="629" ht="18.75" customHeight="1" s="225">
      <c r="A629" s="264">
        <f>B629&amp;"-"&amp;C629</f>
        <v/>
      </c>
      <c r="B629" s="442" t="inlineStr">
        <is>
          <t>XIV - CEXT: Joyas, metales, piedras preciosas</t>
        </is>
      </c>
      <c r="C629" s="443" t="n">
        <v>24</v>
      </c>
      <c r="D629" s="264" t="inlineStr">
        <is>
          <t>Acreditación del destino de los recursos o del bien</t>
        </is>
      </c>
      <c r="E629" s="264" t="inlineStr">
        <is>
          <t>El destino no se manifiesta, o los recursos o la pieza pasan a un tercero no relacionado con el comprador.</t>
        </is>
      </c>
      <c r="F629" s="264" t="inlineStr">
        <is>
          <t>El destino se declara y es verificable.</t>
        </is>
      </c>
      <c r="G629" s="264" t="inlineStr">
        <is>
          <t>El destino es la pieza mismo, y queda registrado en la operación.</t>
        </is>
      </c>
      <c r="H629" s="444" t="inlineStr">
        <is>
          <t>bandera</t>
        </is>
      </c>
    </row>
    <row r="630" ht="18.75" customHeight="1" s="225">
      <c r="A630" s="264">
        <f>B630&amp;"-"&amp;C630</f>
        <v/>
      </c>
      <c r="B630" s="442" t="inlineStr">
        <is>
          <t>XIV - CEXT: Joyas, metales, piedras preciosas</t>
        </is>
      </c>
      <c r="C630" s="443" t="n">
        <v>25</v>
      </c>
      <c r="D630" s="264" t="inlineStr">
        <is>
          <t>Combinación de canal e instrumento idónea para el financiamiento al terrorismo</t>
        </is>
      </c>
      <c r="E630" s="264" t="inlineStr">
        <is>
          <t>La operación de comercio exterior combina contratación a distancia sin verificación reforzada con pagos en efectivo o instrumentos al portador.</t>
        </is>
      </c>
      <c r="F630" s="264" t="inlineStr">
        <is>
          <t>Concurre uno solo de los dos: o la contratación remota sin verificación reforzada, o el pago en instrumento no bancarizado.</t>
        </is>
      </c>
      <c r="G630" s="264" t="inlineStr">
        <is>
          <t>Ni la forma de contratar ni la de pagar permiten mover valor de forma anónima.</t>
        </is>
      </c>
      <c r="H630" s="444" t="inlineStr">
        <is>
          <t>bandera</t>
        </is>
      </c>
    </row>
    <row r="631" ht="18.75" customHeight="1" s="225">
      <c r="A631" s="264">
        <f>B631&amp;"-"&amp;C631</f>
        <v/>
      </c>
      <c r="B631" s="442" t="inlineStr">
        <is>
          <t>XIV - CEXT: Obras de arte</t>
        </is>
      </c>
      <c r="C631" s="443" t="n">
        <v>1</v>
      </c>
      <c r="D631" s="264" t="inlineStr">
        <is>
          <t>Valor unitario de la operación</t>
        </is>
      </c>
      <c r="E631" s="264" t="inlineStr">
        <is>
          <t>La obra tiene un valor unitario muy por encima del ticket promedio de tu operación de doce meses.</t>
        </is>
      </c>
      <c r="F631" s="264" t="inlineStr">
        <is>
          <t>La obra tiene un valor unitario dentro del rango habitual de tu operación.</t>
        </is>
      </c>
      <c r="G631" s="264" t="inlineStr">
        <is>
          <t>La obra tiene un valor unitario por debajo de tu ticket promedio.</t>
        </is>
      </c>
      <c r="H631" s="444" t="inlineStr">
        <is>
          <t>calculado</t>
        </is>
      </c>
    </row>
    <row r="632" ht="18.75" customHeight="1" s="225">
      <c r="A632" s="264">
        <f>B632&amp;"-"&amp;C632</f>
        <v/>
      </c>
      <c r="B632" s="442" t="inlineStr">
        <is>
          <t>XIV - CEXT: Obras de arte</t>
        </is>
      </c>
      <c r="C632" s="443" t="n">
        <v>2</v>
      </c>
      <c r="D632" s="264" t="inlineStr">
        <is>
          <t>Liquidez: facilidad de convertir en dinero</t>
        </is>
      </c>
      <c r="E632" s="264" t="inlineStr">
        <is>
          <t>La obra puede revenderse o cederse de inmediato y prácticamente a su valor íntegro.</t>
        </is>
      </c>
      <c r="F632" s="264" t="inlineStr">
        <is>
          <t>La obra puede revenderse, pero con trámite, plazo o pérdida de valor apreciable.</t>
        </is>
      </c>
      <c r="G632" s="264" t="inlineStr">
        <is>
          <t>La obra es difícil de revender: exige formalidades o registro, o pierde valor de forma significativa.</t>
        </is>
      </c>
      <c r="H632" s="444" t="inlineStr">
        <is>
          <t>bandera</t>
        </is>
      </c>
    </row>
    <row r="633" ht="18.75" customHeight="1" s="225">
      <c r="A633" s="264">
        <f>B633&amp;"-"&amp;C633</f>
        <v/>
      </c>
      <c r="B633" s="442" t="inlineStr">
        <is>
          <t>XIV - CEXT: Obras de arte</t>
        </is>
      </c>
      <c r="C633" s="443" t="n">
        <v>3</v>
      </c>
      <c r="D633" s="264" t="inlineStr">
        <is>
          <t>Anonimato: si el beneficiario queda a la vista</t>
        </is>
      </c>
      <c r="E633" s="264" t="inlineStr">
        <is>
          <t>La operación de comercio exterior admite que quien aparece no sea quien recibe el beneficio, sin que quede registro de quién es el beneficiario final.</t>
        </is>
      </c>
      <c r="F633" s="264" t="inlineStr">
        <is>
          <t>Se identifica a el comprador, pero el beneficiario final se declara sin documento que lo respalde.</t>
        </is>
      </c>
      <c r="G633" s="264" t="inlineStr">
        <is>
          <t>El comprador y el beneficiario final coinciden, y ambos constan en el expediente.</t>
        </is>
      </c>
      <c r="H633" s="444" t="inlineStr">
        <is>
          <t>bandera</t>
        </is>
      </c>
    </row>
    <row r="634" ht="18.75" customHeight="1" s="225">
      <c r="A634" s="264">
        <f>B634&amp;"-"&amp;C634</f>
        <v/>
      </c>
      <c r="B634" s="442" t="inlineStr">
        <is>
          <t>XIV - CEXT: Obras de arte</t>
        </is>
      </c>
      <c r="C634" s="443" t="n">
        <v>4</v>
      </c>
      <c r="D634" s="264" t="inlineStr">
        <is>
          <t>Ocultamiento de valor en el precio</t>
        </is>
      </c>
      <c r="E634" s="264" t="inlineStr">
        <is>
          <t>La operación de comercio exterior admite sobrevaluar, subvaluar o fraccionar el precio sin que la contabilidad lo refleje.</t>
        </is>
      </c>
      <c r="F634" s="264" t="inlineStr">
        <is>
          <t>El precio se aparta del valor de referencia, pero existe explicación documentada de la diferencia.</t>
        </is>
      </c>
      <c r="G634" s="264" t="inlineStr">
        <is>
          <t>El precio corresponde al valor de referencia y queda registrado en la contabilidad.</t>
        </is>
      </c>
      <c r="H634" s="444" t="inlineStr">
        <is>
          <t>bandera</t>
        </is>
      </c>
    </row>
    <row r="635" ht="18.75" customHeight="1" s="225">
      <c r="A635" s="264">
        <f>B635&amp;"-"&amp;C635</f>
        <v/>
      </c>
      <c r="B635" s="442" t="inlineStr">
        <is>
          <t>XIV - CEXT: Obras de arte</t>
        </is>
      </c>
      <c r="C635" s="443" t="n">
        <v>5</v>
      </c>
      <c r="D635" s="264" t="inlineStr">
        <is>
          <t>Exposición a personas señaladas por terrorismo</t>
        </is>
      </c>
      <c r="E635" s="264" t="inlineStr">
        <is>
          <t>El comprador, su beneficiario o su contraparte aparece en listas de sanciones o de organizaciones terroristas.</t>
        </is>
      </c>
      <c r="F635" s="264" t="inlineStr">
        <is>
          <t>Existe un vínculo indirecto —contraparte, domicilio o ruta de los fondos— con una jurisdicción en conflicto o de acción requerida.</t>
        </is>
      </c>
      <c r="G635" s="264" t="inlineStr">
        <is>
          <t>Sin coincidencias ni vínculos con esas listas ni con jurisdicciones en conflicto, con búsqueda documentada.</t>
        </is>
      </c>
      <c r="H635" s="444" t="inlineStr">
        <is>
          <t>campo</t>
        </is>
      </c>
    </row>
    <row r="636" ht="18.75" customHeight="1" s="225">
      <c r="A636" s="264">
        <f>B636&amp;"-"&amp;C636</f>
        <v/>
      </c>
      <c r="B636" s="442" t="inlineStr">
        <is>
          <t>XIV - CEXT: Obras de arte</t>
        </is>
      </c>
      <c r="C636" s="443" t="n">
        <v>6</v>
      </c>
      <c r="D636" s="264" t="inlineStr">
        <is>
          <t>Tipo de persona</t>
        </is>
      </c>
      <c r="E636" s="264" t="inlineStr">
        <is>
          <t>El comprador de la obra es un fideicomiso u otro vehículo sin personalidad jurídica propia. No hay un titular único: la figura permite que quien paga y quien se queda la pieza sean personas distintas y que ninguna aparezca en el contrato.</t>
        </is>
      </c>
      <c r="F636" s="264" t="inlineStr">
        <is>
          <t>El comprador de la obra es persona moral. La voluntad se forma en órganos y la propiedad está en socios, así que hay que llegar al Beneficiario Controlador para saber quién está realmente detrás.</t>
        </is>
      </c>
      <c r="G636" s="264" t="inlineStr">
        <is>
          <t>El comprador de la obra es persona física. Coincide quien paga y quien se queda la pieza, y la identificación es directa contra un solo expediente.</t>
        </is>
      </c>
      <c r="H636" s="444" t="inlineStr">
        <is>
          <t>campo</t>
        </is>
      </c>
    </row>
    <row r="637" ht="18.75" customHeight="1" s="225">
      <c r="A637" s="264">
        <f>B637&amp;"-"&amp;C637</f>
        <v/>
      </c>
      <c r="B637" s="442" t="inlineStr">
        <is>
          <t>XIV - CEXT: Obras de arte</t>
        </is>
      </c>
      <c r="C637" s="443" t="n">
        <v>7</v>
      </c>
      <c r="D637" s="264" t="inlineStr">
        <is>
          <t>Antigüedad del Cliente</t>
        </is>
      </c>
      <c r="E637" s="264" t="inlineStr">
        <is>
          <t>Persona moral constituida hace menos de dos años, o persona física menor de veintitrés años.</t>
        </is>
      </c>
      <c r="F637" s="264" t="inlineStr">
        <is>
          <t>Persona moral constituida hace entre dos y cinco años.</t>
        </is>
      </c>
      <c r="G637" s="264" t="inlineStr">
        <is>
          <t>Persona moral con más de cinco años de constituida, o persona física de veintitrés años en adelante.</t>
        </is>
      </c>
      <c r="H637" s="444" t="inlineStr">
        <is>
          <t>campo</t>
        </is>
      </c>
    </row>
    <row r="638" ht="18.75" customHeight="1" s="225">
      <c r="A638" s="264">
        <f>B638&amp;"-"&amp;C638</f>
        <v/>
      </c>
      <c r="B638" s="442" t="inlineStr">
        <is>
          <t>XIV - CEXT: Obras de arte</t>
        </is>
      </c>
      <c r="C638" s="443" t="n">
        <v>8</v>
      </c>
      <c r="D638" s="264" t="inlineStr">
        <is>
          <t>Giro o actividad declarada</t>
        </is>
      </c>
      <c r="E638" s="264" t="inlineStr">
        <is>
          <t>El giro que declara el comprador es a su vez una Actividad Vulnerable del artículo 17, o no se acredita con documento alguno.</t>
        </is>
      </c>
      <c r="F638" s="264" t="inlineStr">
        <is>
          <t>El giro se declara y se acredita sólo de forma parcial.</t>
        </is>
      </c>
      <c r="G638" s="264" t="inlineStr">
        <is>
          <t>El giro se acredita con documento: constancia de situación fiscal, acta constitutiva o comprobante de empleo.</t>
        </is>
      </c>
      <c r="H638" s="444" t="inlineStr">
        <is>
          <t>campo</t>
        </is>
      </c>
    </row>
    <row r="639" ht="18.75" customHeight="1" s="225">
      <c r="A639" s="264">
        <f>B639&amp;"-"&amp;C639</f>
        <v/>
      </c>
      <c r="B639" s="442" t="inlineStr">
        <is>
          <t>XIV - CEXT: Obras de arte</t>
        </is>
      </c>
      <c r="C639" s="443" t="n">
        <v>9</v>
      </c>
      <c r="D639" s="264" t="inlineStr">
        <is>
          <t>Nacionalidad</t>
        </is>
      </c>
      <c r="E639" s="264" t="inlineStr">
        <is>
          <t>Nacionalidad de país o jurisdicción señalada por la UIF, o no determinada.</t>
        </is>
      </c>
      <c r="F639" s="264" t="inlineStr">
        <is>
          <t>Nacionalidad extranjera de país sin señalamiento.</t>
        </is>
      </c>
      <c r="G639" s="264" t="inlineStr">
        <is>
          <t>Nacionalidad mexicana.</t>
        </is>
      </c>
      <c r="H639" s="444" t="inlineStr">
        <is>
          <t>campo</t>
        </is>
      </c>
    </row>
    <row r="640" ht="18.75" customHeight="1" s="225">
      <c r="A640" s="264">
        <f>B640&amp;"-"&amp;C640</f>
        <v/>
      </c>
      <c r="B640" s="442" t="inlineStr">
        <is>
          <t>XIV - CEXT: Obras de arte</t>
        </is>
      </c>
      <c r="C640" s="443" t="n">
        <v>10</v>
      </c>
      <c r="D640" s="264" t="inlineStr">
        <is>
          <t>País y entidad de residencia</t>
        </is>
      </c>
      <c r="E640" s="264" t="inlineStr">
        <is>
          <t>Residencia en jurisdicción de régimen fiscal preferente o señalada por deficiencias, o domicilio no verificable.</t>
        </is>
      </c>
      <c r="F640" s="264" t="inlineStr">
        <is>
          <t>Residencia en el extranjero sin señalamiento, o en entidad federativa señalada en la ENR.</t>
        </is>
      </c>
      <c r="G640" s="264" t="inlineStr">
        <is>
          <t>Residencia en México, en entidad federativa sin señalamiento en la ENR.</t>
        </is>
      </c>
      <c r="H640" s="444" t="inlineStr">
        <is>
          <t>campo</t>
        </is>
      </c>
    </row>
    <row r="641" ht="18.75" customHeight="1" s="225">
      <c r="A641" s="264">
        <f>B641&amp;"-"&amp;C641</f>
        <v/>
      </c>
      <c r="B641" s="442" t="inlineStr">
        <is>
          <t>XIV - CEXT: Obras de arte</t>
        </is>
      </c>
      <c r="C641" s="443" t="n">
        <v>11</v>
      </c>
      <c r="D641" s="264" t="inlineStr">
        <is>
          <t>Condición de Persona Políticamente Expuesta</t>
        </is>
      </c>
      <c r="E641" s="264" t="inlineStr">
        <is>
          <t>Persona Políticamente Expuesta extranjera, o nacional cuyo comportamiento transaccional no corresponde con sus ingresos y funciones.</t>
        </is>
      </c>
      <c r="F641" s="264" t="inlineStr">
        <is>
          <t>Persona Políticamente Expuesta nacional con comportamiento congruente, o familiar o allegado de una.</t>
        </is>
      </c>
      <c r="G641" s="264" t="inlineStr">
        <is>
          <t>Sin condición de Persona Políticamente Expuesta, con búsqueda documentada.</t>
        </is>
      </c>
      <c r="H641" s="444" t="inlineStr">
        <is>
          <t>campo</t>
        </is>
      </c>
    </row>
    <row r="642" ht="18.75" customHeight="1" s="225">
      <c r="A642" s="264">
        <f>B642&amp;"-"&amp;C642</f>
        <v/>
      </c>
      <c r="B642" s="442" t="inlineStr">
        <is>
          <t>XIV - CEXT: Obras de arte</t>
        </is>
      </c>
      <c r="C642" s="443" t="n">
        <v>12</v>
      </c>
      <c r="D642" s="264" t="inlineStr">
        <is>
          <t>Resultado de la búsqueda en listas</t>
        </is>
      </c>
      <c r="E642" s="264" t="inlineStr">
        <is>
          <t>Coincidencia positiva en listas de personas bloqueadas o de sanciones, o búsqueda no realizada o sin constancia.</t>
        </is>
      </c>
      <c r="F642" s="264" t="inlineStr">
        <is>
          <t>Coincidencia descartada por homonimia acreditada, con constancia.</t>
        </is>
      </c>
      <c r="G642" s="264" t="inlineStr">
        <is>
          <t>Sin coincidencia, con constancia de la búsqueda y su fecha.</t>
        </is>
      </c>
      <c r="H642" s="444" t="inlineStr">
        <is>
          <t>campo</t>
        </is>
      </c>
    </row>
    <row r="643" ht="18.75" customHeight="1" s="225">
      <c r="A643" s="264">
        <f>B643&amp;"-"&amp;C643</f>
        <v/>
      </c>
      <c r="B643" s="442" t="inlineStr">
        <is>
          <t>XIV - CEXT: Obras de arte</t>
        </is>
      </c>
      <c r="C643" s="443" t="n">
        <v>13</v>
      </c>
      <c r="D643" s="264" t="inlineStr">
        <is>
          <t>Profundidad de la cadena de control</t>
        </is>
      </c>
      <c r="E643" s="264" t="inlineStr">
        <is>
          <t>No se logra identificar al Beneficiario Controlador de el comprador, o la cadena no es acreditable.</t>
        </is>
      </c>
      <c r="F643" s="264" t="inlineStr">
        <is>
          <t>El Beneficiario Controlador se identifica atravesando dos o más niveles societarios o fiduciarios.</t>
        </is>
      </c>
      <c r="G643" s="264" t="inlineStr">
        <is>
          <t>El Beneficiario Controlador se identifica en un solo nivel, o el comprador es su propio beneficiario.</t>
        </is>
      </c>
      <c r="H643" s="444" t="inlineStr">
        <is>
          <t>calculado</t>
        </is>
      </c>
    </row>
    <row r="644" ht="18.75" customHeight="1" s="225">
      <c r="A644" s="264">
        <f>B644&amp;"-"&amp;C644</f>
        <v/>
      </c>
      <c r="B644" s="442" t="inlineStr">
        <is>
          <t>XIV - CEXT: Obras de arte</t>
        </is>
      </c>
      <c r="C644" s="443" t="n">
        <v>14</v>
      </c>
      <c r="D644" s="264" t="inlineStr">
        <is>
          <t>País donde se realiza la operación</t>
        </is>
      </c>
      <c r="E644" s="264" t="inlineStr">
        <is>
          <t>La operación de comercio exterior se pacta con o desde una jurisdicción de alto riesgo o no cooperante.</t>
        </is>
      </c>
      <c r="F644" s="264" t="inlineStr">
        <is>
          <t>La operación de comercio exterior se pacta con una jurisdicción extranjera sin señalamiento.</t>
        </is>
      </c>
      <c r="G644" s="264" t="inlineStr">
        <is>
          <t>La operación de comercio exterior se realiza íntegramente en México.</t>
        </is>
      </c>
      <c r="H644" s="444" t="inlineStr">
        <is>
          <t>campo</t>
        </is>
      </c>
    </row>
    <row r="645" ht="18.75" customHeight="1" s="225">
      <c r="A645" s="264">
        <f>B645&amp;"-"&amp;C645</f>
        <v/>
      </c>
      <c r="B645" s="442" t="inlineStr">
        <is>
          <t>XIV - CEXT: Obras de arte</t>
        </is>
      </c>
      <c r="C645" s="443" t="n">
        <v>15</v>
      </c>
      <c r="D645" s="264" t="inlineStr">
        <is>
          <t>Entidad o municipio de la operación</t>
        </is>
      </c>
      <c r="E645" s="264" t="inlineStr">
        <is>
          <t>La operación de comercio exterior ocurre en un municipio o zona identificada de alto riesgo.</t>
        </is>
      </c>
      <c r="F645" s="264" t="inlineStr">
        <is>
          <t>La operación de comercio exterior ocurre en una entidad federativa con señalamiento en la ENR.</t>
        </is>
      </c>
      <c r="G645" s="264" t="inlineStr">
        <is>
          <t>La operación de comercio exterior ocurre en una entidad federativa sin señalamiento en la ENR.</t>
        </is>
      </c>
      <c r="H645" s="444" t="inlineStr">
        <is>
          <t>campo</t>
        </is>
      </c>
    </row>
    <row r="646" ht="18.75" customHeight="1" s="225">
      <c r="A646" s="264">
        <f>B646&amp;"-"&amp;C646</f>
        <v/>
      </c>
      <c r="B646" s="442" t="inlineStr">
        <is>
          <t>XIV - CEXT: Obras de arte</t>
        </is>
      </c>
      <c r="C646" s="443" t="n">
        <v>16</v>
      </c>
      <c r="D646" s="264" t="inlineStr">
        <is>
          <t>Vínculo con jurisdicción sancionada o de acción requerida</t>
        </is>
      </c>
      <c r="E646" s="264" t="inlineStr">
        <is>
          <t>Hay exposición directa a una jurisdicción sancionada, en conflicto armado o de acción requerida del GAFI.</t>
        </is>
      </c>
      <c r="F646" s="264" t="inlineStr">
        <is>
          <t>La exposición es indirecta: una contraparte o la ruta de los fondos toca esa jurisdicción.</t>
        </is>
      </c>
      <c r="G646" s="264" t="inlineStr">
        <is>
          <t>Sin exposición a jurisdicciones sancionadas, en conflicto ni de acción requerida.</t>
        </is>
      </c>
      <c r="H646" s="444" t="inlineStr">
        <is>
          <t>campo</t>
        </is>
      </c>
    </row>
    <row r="647" ht="18.75" customHeight="1" s="225">
      <c r="A647" s="264">
        <f>B647&amp;"-"&amp;C647</f>
        <v/>
      </c>
      <c r="B647" s="442" t="inlineStr">
        <is>
          <t>XIV - CEXT: Obras de arte</t>
        </is>
      </c>
      <c r="C647" s="443" t="n">
        <v>17</v>
      </c>
      <c r="D647" s="264" t="inlineStr">
        <is>
          <t>Coincidencia entre domicilio y lugar de la operación</t>
        </is>
      </c>
      <c r="E647" s="264" t="inlineStr">
        <is>
          <t>El domicilio de el comprador y el lugar de la operación de comercio exterior no coinciden, y no hay explicación documentada.</t>
        </is>
      </c>
      <c r="F647" s="264" t="inlineStr">
        <is>
          <t>No coinciden, pero consta por escrito la razón de operar en ese lugar.</t>
        </is>
      </c>
      <c r="G647" s="264" t="inlineStr">
        <is>
          <t>El domicilio de el comprador y el lugar de la operación de comercio exterior coinciden.</t>
        </is>
      </c>
      <c r="H647" s="444" t="inlineStr">
        <is>
          <t>calculado</t>
        </is>
      </c>
    </row>
    <row r="648" ht="18.75" customHeight="1" s="225">
      <c r="A648" s="264">
        <f>B648&amp;"-"&amp;C648</f>
        <v/>
      </c>
      <c r="B648" s="442" t="inlineStr">
        <is>
          <t>XIV - CEXT: Obras de arte</t>
        </is>
      </c>
      <c r="C648" s="443" t="n">
        <v>18</v>
      </c>
      <c r="D648" s="264" t="inlineStr">
        <is>
          <t>Instrumento con que se paga</t>
        </is>
      </c>
      <c r="E648" s="264" t="inlineStr">
        <is>
          <t>Efectivo por encima de tu umbral interno, instrumento al portador, o pago en especie.</t>
        </is>
      </c>
      <c r="F648" s="264" t="inlineStr">
        <is>
          <t>Pago mixto, con un componente en efectivo por debajo de tu umbral interno.</t>
        </is>
      </c>
      <c r="G648" s="264" t="inlineStr">
        <is>
          <t>Transferencia electrónica o cheque nominativo desde una cuenta a nombre de el comprador.</t>
        </is>
      </c>
      <c r="H648" s="444" t="inlineStr">
        <is>
          <t>campo</t>
        </is>
      </c>
    </row>
    <row r="649" ht="18.75" customHeight="1" s="225">
      <c r="A649" s="264">
        <f>B649&amp;"-"&amp;C649</f>
        <v/>
      </c>
      <c r="B649" s="442" t="inlineStr">
        <is>
          <t>XIV - CEXT: Obras de arte</t>
        </is>
      </c>
      <c r="C649" s="443" t="n">
        <v>19</v>
      </c>
      <c r="D649" s="264" t="inlineStr">
        <is>
          <t>Moneda de la operación</t>
        </is>
      </c>
      <c r="E649" s="264" t="inlineStr">
        <is>
          <t>Divisa distinta del dólar estadounidense y del euro, o activo virtual.</t>
        </is>
      </c>
      <c r="F649" s="264" t="inlineStr">
        <is>
          <t>Dólar estadounidense o euro, con soporte documental.</t>
        </is>
      </c>
      <c r="G649" s="264" t="inlineStr">
        <is>
          <t>Peso mexicano.</t>
        </is>
      </c>
      <c r="H649" s="444" t="inlineStr">
        <is>
          <t>campo</t>
        </is>
      </c>
    </row>
    <row r="650" ht="18.75" customHeight="1" s="225">
      <c r="A650" s="264">
        <f>B650&amp;"-"&amp;C650</f>
        <v/>
      </c>
      <c r="B650" s="442" t="inlineStr">
        <is>
          <t>XIV - CEXT: Obras de arte</t>
        </is>
      </c>
      <c r="C650" s="443" t="n">
        <v>20</v>
      </c>
      <c r="D650" s="264" t="inlineStr">
        <is>
          <t>Monto frente al umbral de tu fracción</t>
        </is>
      </c>
      <c r="E650" s="264" t="inlineStr">
        <is>
          <t>La operación de comercio exterior iguala o supera el umbral de Aviso de tu fracción del artículo 17.</t>
        </is>
      </c>
      <c r="F650" s="264" t="inlineStr">
        <is>
          <t>La operación de comercio exterior se sitúa entre el umbral de identificación y el de Aviso.</t>
        </is>
      </c>
      <c r="G650" s="264" t="inlineStr">
        <is>
          <t>La operación de comercio exterior queda por debajo del umbral de identificación.</t>
        </is>
      </c>
      <c r="H650" s="444" t="inlineStr">
        <is>
          <t>calculado</t>
        </is>
      </c>
    </row>
    <row r="651" ht="18.75" customHeight="1" s="225">
      <c r="A651" s="264">
        <f>B651&amp;"-"&amp;C651</f>
        <v/>
      </c>
      <c r="B651" s="442" t="inlineStr">
        <is>
          <t>XIV - CEXT: Obras de arte</t>
        </is>
      </c>
      <c r="C651" s="443" t="n">
        <v>21</v>
      </c>
      <c r="D651" s="264" t="inlineStr">
        <is>
          <t>Número y ritmo de operaciones en el periodo</t>
        </is>
      </c>
      <c r="E651" s="264" t="inlineStr">
        <is>
          <t>El comprador realiza cinco o más operaciones al año, o varias en intervalos cortos y regulares.</t>
        </is>
      </c>
      <c r="F651" s="264" t="inlineStr">
        <is>
          <t>El comprador realiza entre dos y cuatro operaciones al año.</t>
        </is>
      </c>
      <c r="G651" s="264" t="inlineStr">
        <is>
          <t>El comprador realiza una sola operación en el periodo.</t>
        </is>
      </c>
      <c r="H651" s="444" t="inlineStr">
        <is>
          <t>calculado</t>
        </is>
      </c>
    </row>
    <row r="652" ht="18.75" customHeight="1" s="225">
      <c r="A652" s="264">
        <f>B652&amp;"-"&amp;C652</f>
        <v/>
      </c>
      <c r="B652" s="442" t="inlineStr">
        <is>
          <t>XIV - CEXT: Obras de arte</t>
        </is>
      </c>
      <c r="C652" s="443" t="n">
        <v>22</v>
      </c>
      <c r="D652" s="264" t="inlineStr">
        <is>
          <t>Canal: certeza de identificación del Cliente</t>
        </is>
      </c>
      <c r="E652" s="264" t="inlineStr">
        <is>
          <t>La operación llega por un gestor, plataforma o intermediario no acreditado: nadie responde por la identificación de el comprador, y quien opera puede no ser quien dice ser.</t>
        </is>
      </c>
      <c r="F652" s="264" t="inlineStr">
        <is>
          <t>Se identifica a el comprador de forma remota con verificación documental, o a través de un promotor o representante propio con contrato y responsable señalado.</t>
        </is>
      </c>
      <c r="G652" s="264" t="inlineStr">
        <is>
          <t>El comprador comparece de forma directa, o se le identifica en remoto con biometría y prueba de vida.</t>
        </is>
      </c>
      <c r="H652" s="444" t="inlineStr">
        <is>
          <t>campo</t>
        </is>
      </c>
    </row>
    <row r="653" ht="18.75" customHeight="1" s="225">
      <c r="A653" s="264">
        <f>B653&amp;"-"&amp;C653</f>
        <v/>
      </c>
      <c r="B653" s="442" t="inlineStr">
        <is>
          <t>XIV - CEXT: Obras de arte</t>
        </is>
      </c>
      <c r="C653" s="443" t="n">
        <v>23</v>
      </c>
      <c r="D653" s="264" t="inlineStr">
        <is>
          <t>Acreditación del origen de los recursos</t>
        </is>
      </c>
      <c r="E653" s="264" t="inlineStr">
        <is>
          <t>El origen de los recursos se declara sin soporte documental, o no se manifiesta.</t>
        </is>
      </c>
      <c r="F653" s="264" t="inlineStr">
        <is>
          <t>El origen se declara y se acredita sólo de forma parcial.</t>
        </is>
      </c>
      <c r="G653" s="264" t="inlineStr">
        <is>
          <t>El origen se acredita con documentación verificable.</t>
        </is>
      </c>
      <c r="H653" s="444" t="inlineStr">
        <is>
          <t>bandera</t>
        </is>
      </c>
    </row>
    <row r="654" ht="18.75" customHeight="1" s="225">
      <c r="A654" s="264">
        <f>B654&amp;"-"&amp;C654</f>
        <v/>
      </c>
      <c r="B654" s="442" t="inlineStr">
        <is>
          <t>XIV - CEXT: Obras de arte</t>
        </is>
      </c>
      <c r="C654" s="443" t="n">
        <v>24</v>
      </c>
      <c r="D654" s="264" t="inlineStr">
        <is>
          <t>Acreditación del destino de los recursos o del bien</t>
        </is>
      </c>
      <c r="E654" s="264" t="inlineStr">
        <is>
          <t>El destino no se manifiesta, o los recursos o la obra pasan a un tercero no relacionado con el comprador.</t>
        </is>
      </c>
      <c r="F654" s="264" t="inlineStr">
        <is>
          <t>El destino se declara y es verificable.</t>
        </is>
      </c>
      <c r="G654" s="264" t="inlineStr">
        <is>
          <t>El destino es la obra mismo, y queda registrado en la operación.</t>
        </is>
      </c>
      <c r="H654" s="444" t="inlineStr">
        <is>
          <t>bandera</t>
        </is>
      </c>
    </row>
    <row r="655" ht="18.75" customHeight="1" s="225">
      <c r="A655" s="264">
        <f>B655&amp;"-"&amp;C655</f>
        <v/>
      </c>
      <c r="B655" s="442" t="inlineStr">
        <is>
          <t>XIV - CEXT: Obras de arte</t>
        </is>
      </c>
      <c r="C655" s="443" t="n">
        <v>25</v>
      </c>
      <c r="D655" s="264" t="inlineStr">
        <is>
          <t>Combinación de canal e instrumento idónea para el financiamiento al terrorismo</t>
        </is>
      </c>
      <c r="E655" s="264" t="inlineStr">
        <is>
          <t>La operación de comercio exterior combina contratación a distancia sin verificación reforzada con pagos en efectivo o instrumentos al portador.</t>
        </is>
      </c>
      <c r="F655" s="264" t="inlineStr">
        <is>
          <t>Concurre uno solo de los dos: o la contratación remota sin verificación reforzada, o el pago en instrumento no bancarizado.</t>
        </is>
      </c>
      <c r="G655" s="264" t="inlineStr">
        <is>
          <t>Ni la forma de contratar ni la de pagar permiten mover valor de forma anónima.</t>
        </is>
      </c>
      <c r="H655" s="444" t="inlineStr">
        <is>
          <t>bandera</t>
        </is>
      </c>
    </row>
    <row r="656" ht="18.75" customHeight="1" s="225">
      <c r="A656" s="264">
        <f>B656&amp;"-"&amp;C656</f>
        <v/>
      </c>
      <c r="B656" s="442" t="inlineStr">
        <is>
          <t>XIV - CEXT: Vehículos, máquinas, blindaje, etc.</t>
        </is>
      </c>
      <c r="C656" s="443" t="n">
        <v>1</v>
      </c>
      <c r="D656" s="264" t="inlineStr">
        <is>
          <t>Valor unitario de la operación</t>
        </is>
      </c>
      <c r="E656" s="264" t="inlineStr">
        <is>
          <t>El bien importado o exportado tiene un valor unitario muy por encima del ticket promedio de tu operación de doce meses.</t>
        </is>
      </c>
      <c r="F656" s="264" t="inlineStr">
        <is>
          <t>El bien importado o exportado tiene un valor unitario dentro del rango habitual de tu operación.</t>
        </is>
      </c>
      <c r="G656" s="264" t="inlineStr">
        <is>
          <t>El bien importado o exportado tiene un valor unitario por debajo de tu ticket promedio.</t>
        </is>
      </c>
      <c r="H656" s="444" t="inlineStr">
        <is>
          <t>calculado</t>
        </is>
      </c>
    </row>
    <row r="657" ht="18.75" customHeight="1" s="225">
      <c r="A657" s="264">
        <f>B657&amp;"-"&amp;C657</f>
        <v/>
      </c>
      <c r="B657" s="442" t="inlineStr">
        <is>
          <t>XIV - CEXT: Vehículos, máquinas, blindaje, etc.</t>
        </is>
      </c>
      <c r="C657" s="443" t="n">
        <v>2</v>
      </c>
      <c r="D657" s="264" t="inlineStr">
        <is>
          <t>Liquidez: facilidad de convertir en dinero</t>
        </is>
      </c>
      <c r="E657" s="264" t="inlineStr">
        <is>
          <t>El bien importado o exportado puede revenderse o cederse de inmediato y prácticamente a su valor íntegro.</t>
        </is>
      </c>
      <c r="F657" s="264" t="inlineStr">
        <is>
          <t>El bien importado o exportado puede revenderse, pero con trámite, plazo o pérdida de valor apreciable.</t>
        </is>
      </c>
      <c r="G657" s="264" t="inlineStr">
        <is>
          <t>El bien importado o exportado es difícil de revender: exige formalidades o registro, o pierde valor de forma significativa.</t>
        </is>
      </c>
      <c r="H657" s="444" t="inlineStr">
        <is>
          <t>bandera</t>
        </is>
      </c>
    </row>
    <row r="658" ht="18.75" customHeight="1" s="225">
      <c r="A658" s="264">
        <f>B658&amp;"-"&amp;C658</f>
        <v/>
      </c>
      <c r="B658" s="442" t="inlineStr">
        <is>
          <t>XIV - CEXT: Vehículos, máquinas, blindaje, etc.</t>
        </is>
      </c>
      <c r="C658" s="443" t="n">
        <v>3</v>
      </c>
      <c r="D658" s="264" t="inlineStr">
        <is>
          <t>Anonimato: si el beneficiario queda a la vista</t>
        </is>
      </c>
      <c r="E658" s="264" t="inlineStr">
        <is>
          <t>La operación de comercio exterior admite que quien aparece no sea quien recibe el beneficio, sin que quede registro de quién es el beneficiario final.</t>
        </is>
      </c>
      <c r="F658" s="264" t="inlineStr">
        <is>
          <t>Se identifica a el adquirente, pero el beneficiario final se declara sin documento que lo respalde.</t>
        </is>
      </c>
      <c r="G658" s="264" t="inlineStr">
        <is>
          <t>El adquirente y el beneficiario final coinciden, y ambos constan en el expediente.</t>
        </is>
      </c>
      <c r="H658" s="444" t="inlineStr">
        <is>
          <t>bandera</t>
        </is>
      </c>
    </row>
    <row r="659" ht="18.75" customHeight="1" s="225">
      <c r="A659" s="264">
        <f>B659&amp;"-"&amp;C659</f>
        <v/>
      </c>
      <c r="B659" s="442" t="inlineStr">
        <is>
          <t>XIV - CEXT: Vehículos, máquinas, blindaje, etc.</t>
        </is>
      </c>
      <c r="C659" s="443" t="n">
        <v>4</v>
      </c>
      <c r="D659" s="264" t="inlineStr">
        <is>
          <t>Ocultamiento de valor en el precio</t>
        </is>
      </c>
      <c r="E659" s="264" t="inlineStr">
        <is>
          <t>La operación de comercio exterior admite sobrevaluar, subvaluar o fraccionar el precio sin que la contabilidad lo refleje.</t>
        </is>
      </c>
      <c r="F659" s="264" t="inlineStr">
        <is>
          <t>El precio se aparta del valor de referencia, pero existe explicación documentada de la diferencia.</t>
        </is>
      </c>
      <c r="G659" s="264" t="inlineStr">
        <is>
          <t>El precio corresponde al valor de referencia y queda registrado en la contabilidad.</t>
        </is>
      </c>
      <c r="H659" s="444" t="inlineStr">
        <is>
          <t>bandera</t>
        </is>
      </c>
    </row>
    <row r="660" ht="18.75" customHeight="1" s="225">
      <c r="A660" s="264">
        <f>B660&amp;"-"&amp;C660</f>
        <v/>
      </c>
      <c r="B660" s="442" t="inlineStr">
        <is>
          <t>XIV - CEXT: Vehículos, máquinas, blindaje, etc.</t>
        </is>
      </c>
      <c r="C660" s="443" t="n">
        <v>5</v>
      </c>
      <c r="D660" s="264" t="inlineStr">
        <is>
          <t>Exposición a personas señaladas por terrorismo</t>
        </is>
      </c>
      <c r="E660" s="264" t="inlineStr">
        <is>
          <t>El adquirente, su beneficiario o su contraparte aparece en listas de sanciones o de organizaciones terroristas.</t>
        </is>
      </c>
      <c r="F660" s="264" t="inlineStr">
        <is>
          <t>Existe un vínculo indirecto —contraparte, domicilio o ruta de los fondos— con una jurisdicción en conflicto o de acción requerida.</t>
        </is>
      </c>
      <c r="G660" s="264" t="inlineStr">
        <is>
          <t>Sin coincidencias ni vínculos con esas listas ni con jurisdicciones en conflicto, con búsqueda documentada.</t>
        </is>
      </c>
      <c r="H660" s="444" t="inlineStr">
        <is>
          <t>campo</t>
        </is>
      </c>
    </row>
    <row r="661" ht="18.75" customHeight="1" s="225">
      <c r="A661" s="264">
        <f>B661&amp;"-"&amp;C661</f>
        <v/>
      </c>
      <c r="B661" s="442" t="inlineStr">
        <is>
          <t>XIV - CEXT: Vehículos, máquinas, blindaje, etc.</t>
        </is>
      </c>
      <c r="C661" s="443" t="n">
        <v>6</v>
      </c>
      <c r="D661" s="264" t="inlineStr">
        <is>
          <t>Tipo de persona</t>
        </is>
      </c>
      <c r="E661" s="264" t="inlineStr">
        <is>
          <t>El adquirente del bien es un fideicomiso u otro vehículo sin personalidad jurídica propia. No hay un titular único: la figura permite que quien paga y quien queda como propietario sean personas distintas y que ninguna aparezca en el contrato.</t>
        </is>
      </c>
      <c r="F661" s="264" t="inlineStr">
        <is>
          <t>El adquirente del bien es persona moral. La voluntad se forma en órganos y la propiedad está en socios, así que hay que llegar al Beneficiario Controlador para saber quién está realmente detrás.</t>
        </is>
      </c>
      <c r="G661" s="264" t="inlineStr">
        <is>
          <t>El adquirente del bien es persona física. Coincide quien paga y quien queda como propietario, y la identificación es directa contra un solo expediente.</t>
        </is>
      </c>
      <c r="H661" s="444" t="inlineStr">
        <is>
          <t>campo</t>
        </is>
      </c>
    </row>
    <row r="662" ht="18.75" customHeight="1" s="225">
      <c r="A662" s="264">
        <f>B662&amp;"-"&amp;C662</f>
        <v/>
      </c>
      <c r="B662" s="442" t="inlineStr">
        <is>
          <t>XIV - CEXT: Vehículos, máquinas, blindaje, etc.</t>
        </is>
      </c>
      <c r="C662" s="443" t="n">
        <v>7</v>
      </c>
      <c r="D662" s="264" t="inlineStr">
        <is>
          <t>Antigüedad del Cliente</t>
        </is>
      </c>
      <c r="E662" s="264" t="inlineStr">
        <is>
          <t>Persona moral constituida hace menos de dos años, o persona física menor de veintitrés años.</t>
        </is>
      </c>
      <c r="F662" s="264" t="inlineStr">
        <is>
          <t>Persona moral constituida hace entre dos y cinco años.</t>
        </is>
      </c>
      <c r="G662" s="264" t="inlineStr">
        <is>
          <t>Persona moral con más de cinco años de constituida, o persona física de veintitrés años en adelante.</t>
        </is>
      </c>
      <c r="H662" s="444" t="inlineStr">
        <is>
          <t>campo</t>
        </is>
      </c>
    </row>
    <row r="663" ht="18.75" customHeight="1" s="225">
      <c r="A663" s="264">
        <f>B663&amp;"-"&amp;C663</f>
        <v/>
      </c>
      <c r="B663" s="442" t="inlineStr">
        <is>
          <t>XIV - CEXT: Vehículos, máquinas, blindaje, etc.</t>
        </is>
      </c>
      <c r="C663" s="443" t="n">
        <v>8</v>
      </c>
      <c r="D663" s="264" t="inlineStr">
        <is>
          <t>Giro o actividad declarada</t>
        </is>
      </c>
      <c r="E663" s="264" t="inlineStr">
        <is>
          <t>El giro que declara el adquirente es a su vez una Actividad Vulnerable del artículo 17, o no se acredita con documento alguno.</t>
        </is>
      </c>
      <c r="F663" s="264" t="inlineStr">
        <is>
          <t>El giro se declara y se acredita sólo de forma parcial.</t>
        </is>
      </c>
      <c r="G663" s="264" t="inlineStr">
        <is>
          <t>El giro se acredita con documento: constancia de situación fiscal, acta constitutiva o comprobante de empleo.</t>
        </is>
      </c>
      <c r="H663" s="444" t="inlineStr">
        <is>
          <t>campo</t>
        </is>
      </c>
    </row>
    <row r="664" ht="18.75" customHeight="1" s="225">
      <c r="A664" s="264">
        <f>B664&amp;"-"&amp;C664</f>
        <v/>
      </c>
      <c r="B664" s="442" t="inlineStr">
        <is>
          <t>XIV - CEXT: Vehículos, máquinas, blindaje, etc.</t>
        </is>
      </c>
      <c r="C664" s="443" t="n">
        <v>9</v>
      </c>
      <c r="D664" s="264" t="inlineStr">
        <is>
          <t>Nacionalidad</t>
        </is>
      </c>
      <c r="E664" s="264" t="inlineStr">
        <is>
          <t>Nacionalidad de país o jurisdicción señalada por la UIF, o no determinada.</t>
        </is>
      </c>
      <c r="F664" s="264" t="inlineStr">
        <is>
          <t>Nacionalidad extranjera de país sin señalamiento.</t>
        </is>
      </c>
      <c r="G664" s="264" t="inlineStr">
        <is>
          <t>Nacionalidad mexicana.</t>
        </is>
      </c>
      <c r="H664" s="444" t="inlineStr">
        <is>
          <t>campo</t>
        </is>
      </c>
    </row>
    <row r="665" ht="18.75" customHeight="1" s="225">
      <c r="A665" s="264">
        <f>B665&amp;"-"&amp;C665</f>
        <v/>
      </c>
      <c r="B665" s="442" t="inlineStr">
        <is>
          <t>XIV - CEXT: Vehículos, máquinas, blindaje, etc.</t>
        </is>
      </c>
      <c r="C665" s="443" t="n">
        <v>10</v>
      </c>
      <c r="D665" s="264" t="inlineStr">
        <is>
          <t>País y entidad de residencia</t>
        </is>
      </c>
      <c r="E665" s="264" t="inlineStr">
        <is>
          <t>Residencia en jurisdicción de régimen fiscal preferente o señalada por deficiencias, o domicilio no verificable.</t>
        </is>
      </c>
      <c r="F665" s="264" t="inlineStr">
        <is>
          <t>Residencia en el extranjero sin señalamiento, o en entidad federativa señalada en la ENR.</t>
        </is>
      </c>
      <c r="G665" s="264" t="inlineStr">
        <is>
          <t>Residencia en México, en entidad federativa sin señalamiento en la ENR.</t>
        </is>
      </c>
      <c r="H665" s="444" t="inlineStr">
        <is>
          <t>campo</t>
        </is>
      </c>
    </row>
    <row r="666" ht="18.75" customHeight="1" s="225">
      <c r="A666" s="264">
        <f>B666&amp;"-"&amp;C666</f>
        <v/>
      </c>
      <c r="B666" s="442" t="inlineStr">
        <is>
          <t>XIV - CEXT: Vehículos, máquinas, blindaje, etc.</t>
        </is>
      </c>
      <c r="C666" s="443" t="n">
        <v>11</v>
      </c>
      <c r="D666" s="264" t="inlineStr">
        <is>
          <t>Condición de Persona Políticamente Expuesta</t>
        </is>
      </c>
      <c r="E666" s="264" t="inlineStr">
        <is>
          <t>Persona Políticamente Expuesta extranjera, o nacional cuyo comportamiento transaccional no corresponde con sus ingresos y funciones.</t>
        </is>
      </c>
      <c r="F666" s="264" t="inlineStr">
        <is>
          <t>Persona Políticamente Expuesta nacional con comportamiento congruente, o familiar o allegado de una.</t>
        </is>
      </c>
      <c r="G666" s="264" t="inlineStr">
        <is>
          <t>Sin condición de Persona Políticamente Expuesta, con búsqueda documentada.</t>
        </is>
      </c>
      <c r="H666" s="444" t="inlineStr">
        <is>
          <t>campo</t>
        </is>
      </c>
    </row>
    <row r="667" ht="18.75" customHeight="1" s="225">
      <c r="A667" s="264">
        <f>B667&amp;"-"&amp;C667</f>
        <v/>
      </c>
      <c r="B667" s="442" t="inlineStr">
        <is>
          <t>XIV - CEXT: Vehículos, máquinas, blindaje, etc.</t>
        </is>
      </c>
      <c r="C667" s="443" t="n">
        <v>12</v>
      </c>
      <c r="D667" s="264" t="inlineStr">
        <is>
          <t>Resultado de la búsqueda en listas</t>
        </is>
      </c>
      <c r="E667" s="264" t="inlineStr">
        <is>
          <t>Coincidencia positiva en listas de personas bloqueadas o de sanciones, o búsqueda no realizada o sin constancia.</t>
        </is>
      </c>
      <c r="F667" s="264" t="inlineStr">
        <is>
          <t>Coincidencia descartada por homonimia acreditada, con constancia.</t>
        </is>
      </c>
      <c r="G667" s="264" t="inlineStr">
        <is>
          <t>Sin coincidencia, con constancia de la búsqueda y su fecha.</t>
        </is>
      </c>
      <c r="H667" s="444" t="inlineStr">
        <is>
          <t>campo</t>
        </is>
      </c>
    </row>
    <row r="668" ht="18.75" customHeight="1" s="225">
      <c r="A668" s="264">
        <f>B668&amp;"-"&amp;C668</f>
        <v/>
      </c>
      <c r="B668" s="442" t="inlineStr">
        <is>
          <t>XIV - CEXT: Vehículos, máquinas, blindaje, etc.</t>
        </is>
      </c>
      <c r="C668" s="443" t="n">
        <v>13</v>
      </c>
      <c r="D668" s="264" t="inlineStr">
        <is>
          <t>Profundidad de la cadena de control</t>
        </is>
      </c>
      <c r="E668" s="264" t="inlineStr">
        <is>
          <t>No se logra identificar al Beneficiario Controlador de el adquirente, o la cadena no es acreditable.</t>
        </is>
      </c>
      <c r="F668" s="264" t="inlineStr">
        <is>
          <t>El Beneficiario Controlador se identifica atravesando dos o más niveles societarios o fiduciarios.</t>
        </is>
      </c>
      <c r="G668" s="264" t="inlineStr">
        <is>
          <t>El Beneficiario Controlador se identifica en un solo nivel, o el adquirente es su propio beneficiario.</t>
        </is>
      </c>
      <c r="H668" s="444" t="inlineStr">
        <is>
          <t>calculado</t>
        </is>
      </c>
    </row>
    <row r="669" ht="18.75" customHeight="1" s="225">
      <c r="A669" s="264">
        <f>B669&amp;"-"&amp;C669</f>
        <v/>
      </c>
      <c r="B669" s="442" t="inlineStr">
        <is>
          <t>XIV - CEXT: Vehículos, máquinas, blindaje, etc.</t>
        </is>
      </c>
      <c r="C669" s="443" t="n">
        <v>14</v>
      </c>
      <c r="D669" s="264" t="inlineStr">
        <is>
          <t>País donde se realiza la operación</t>
        </is>
      </c>
      <c r="E669" s="264" t="inlineStr">
        <is>
          <t>La operación de comercio exterior se pacta con o desde una jurisdicción de alto riesgo o no cooperante.</t>
        </is>
      </c>
      <c r="F669" s="264" t="inlineStr">
        <is>
          <t>La operación de comercio exterior se pacta con una jurisdicción extranjera sin señalamiento.</t>
        </is>
      </c>
      <c r="G669" s="264" t="inlineStr">
        <is>
          <t>La operación de comercio exterior se realiza íntegramente en México.</t>
        </is>
      </c>
      <c r="H669" s="444" t="inlineStr">
        <is>
          <t>campo</t>
        </is>
      </c>
    </row>
    <row r="670" ht="18.75" customHeight="1" s="225">
      <c r="A670" s="264">
        <f>B670&amp;"-"&amp;C670</f>
        <v/>
      </c>
      <c r="B670" s="442" t="inlineStr">
        <is>
          <t>XIV - CEXT: Vehículos, máquinas, blindaje, etc.</t>
        </is>
      </c>
      <c r="C670" s="443" t="n">
        <v>15</v>
      </c>
      <c r="D670" s="264" t="inlineStr">
        <is>
          <t>Entidad o municipio de la operación</t>
        </is>
      </c>
      <c r="E670" s="264" t="inlineStr">
        <is>
          <t>La operación de comercio exterior ocurre en un municipio o zona identificada de alto riesgo.</t>
        </is>
      </c>
      <c r="F670" s="264" t="inlineStr">
        <is>
          <t>La operación de comercio exterior ocurre en una entidad federativa con señalamiento en la ENR.</t>
        </is>
      </c>
      <c r="G670" s="264" t="inlineStr">
        <is>
          <t>La operación de comercio exterior ocurre en una entidad federativa sin señalamiento en la ENR.</t>
        </is>
      </c>
      <c r="H670" s="444" t="inlineStr">
        <is>
          <t>campo</t>
        </is>
      </c>
    </row>
    <row r="671" ht="18.75" customHeight="1" s="225">
      <c r="A671" s="264">
        <f>B671&amp;"-"&amp;C671</f>
        <v/>
      </c>
      <c r="B671" s="442" t="inlineStr">
        <is>
          <t>XIV - CEXT: Vehículos, máquinas, blindaje, etc.</t>
        </is>
      </c>
      <c r="C671" s="443" t="n">
        <v>16</v>
      </c>
      <c r="D671" s="264" t="inlineStr">
        <is>
          <t>Vínculo con jurisdicción sancionada o de acción requerida</t>
        </is>
      </c>
      <c r="E671" s="264" t="inlineStr">
        <is>
          <t>Hay exposición directa a una jurisdicción sancionada, en conflicto armado o de acción requerida del GAFI.</t>
        </is>
      </c>
      <c r="F671" s="264" t="inlineStr">
        <is>
          <t>La exposición es indirecta: una contraparte o la ruta de los fondos toca esa jurisdicción.</t>
        </is>
      </c>
      <c r="G671" s="264" t="inlineStr">
        <is>
          <t>Sin exposición a jurisdicciones sancionadas, en conflicto ni de acción requerida.</t>
        </is>
      </c>
      <c r="H671" s="444" t="inlineStr">
        <is>
          <t>campo</t>
        </is>
      </c>
    </row>
    <row r="672" ht="18.75" customHeight="1" s="225">
      <c r="A672" s="264">
        <f>B672&amp;"-"&amp;C672</f>
        <v/>
      </c>
      <c r="B672" s="442" t="inlineStr">
        <is>
          <t>XIV - CEXT: Vehículos, máquinas, blindaje, etc.</t>
        </is>
      </c>
      <c r="C672" s="443" t="n">
        <v>17</v>
      </c>
      <c r="D672" s="264" t="inlineStr">
        <is>
          <t>Coincidencia entre domicilio y lugar de la operación</t>
        </is>
      </c>
      <c r="E672" s="264" t="inlineStr">
        <is>
          <t>El domicilio de el adquirente y el lugar de la operación de comercio exterior no coinciden, y no hay explicación documentada.</t>
        </is>
      </c>
      <c r="F672" s="264" t="inlineStr">
        <is>
          <t>No coinciden, pero consta por escrito la razón de operar en ese lugar.</t>
        </is>
      </c>
      <c r="G672" s="264" t="inlineStr">
        <is>
          <t>El domicilio de el adquirente y el lugar de la operación de comercio exterior coinciden.</t>
        </is>
      </c>
      <c r="H672" s="444" t="inlineStr">
        <is>
          <t>calculado</t>
        </is>
      </c>
    </row>
    <row r="673" ht="18.75" customHeight="1" s="225">
      <c r="A673" s="264">
        <f>B673&amp;"-"&amp;C673</f>
        <v/>
      </c>
      <c r="B673" s="442" t="inlineStr">
        <is>
          <t>XIV - CEXT: Vehículos, máquinas, blindaje, etc.</t>
        </is>
      </c>
      <c r="C673" s="443" t="n">
        <v>18</v>
      </c>
      <c r="D673" s="264" t="inlineStr">
        <is>
          <t>Instrumento con que se paga</t>
        </is>
      </c>
      <c r="E673" s="264" t="inlineStr">
        <is>
          <t>Efectivo por encima de tu umbral interno, instrumento al portador, o pago en especie.</t>
        </is>
      </c>
      <c r="F673" s="264" t="inlineStr">
        <is>
          <t>Pago mixto, con un componente en efectivo por debajo de tu umbral interno.</t>
        </is>
      </c>
      <c r="G673" s="264" t="inlineStr">
        <is>
          <t>Transferencia electrónica o cheque nominativo desde una cuenta a nombre de el adquirente.</t>
        </is>
      </c>
      <c r="H673" s="444" t="inlineStr">
        <is>
          <t>campo</t>
        </is>
      </c>
    </row>
    <row r="674" ht="18.75" customHeight="1" s="225">
      <c r="A674" s="264">
        <f>B674&amp;"-"&amp;C674</f>
        <v/>
      </c>
      <c r="B674" s="442" t="inlineStr">
        <is>
          <t>XIV - CEXT: Vehículos, máquinas, blindaje, etc.</t>
        </is>
      </c>
      <c r="C674" s="443" t="n">
        <v>19</v>
      </c>
      <c r="D674" s="264" t="inlineStr">
        <is>
          <t>Moneda de la operación</t>
        </is>
      </c>
      <c r="E674" s="264" t="inlineStr">
        <is>
          <t>Divisa distinta del dólar estadounidense y del euro, o activo virtual.</t>
        </is>
      </c>
      <c r="F674" s="264" t="inlineStr">
        <is>
          <t>Dólar estadounidense o euro, con soporte documental.</t>
        </is>
      </c>
      <c r="G674" s="264" t="inlineStr">
        <is>
          <t>Peso mexicano.</t>
        </is>
      </c>
      <c r="H674" s="444" t="inlineStr">
        <is>
          <t>campo</t>
        </is>
      </c>
    </row>
    <row r="675" ht="18.75" customHeight="1" s="225">
      <c r="A675" s="264">
        <f>B675&amp;"-"&amp;C675</f>
        <v/>
      </c>
      <c r="B675" s="442" t="inlineStr">
        <is>
          <t>XIV - CEXT: Vehículos, máquinas, blindaje, etc.</t>
        </is>
      </c>
      <c r="C675" s="443" t="n">
        <v>20</v>
      </c>
      <c r="D675" s="264" t="inlineStr">
        <is>
          <t>Monto frente al umbral de tu fracción</t>
        </is>
      </c>
      <c r="E675" s="264" t="inlineStr">
        <is>
          <t>La operación de comercio exterior iguala o supera el umbral de Aviso de tu fracción del artículo 17.</t>
        </is>
      </c>
      <c r="F675" s="264" t="inlineStr">
        <is>
          <t>La operación de comercio exterior se sitúa entre el umbral de identificación y el de Aviso.</t>
        </is>
      </c>
      <c r="G675" s="264" t="inlineStr">
        <is>
          <t>La operación de comercio exterior queda por debajo del umbral de identificación.</t>
        </is>
      </c>
      <c r="H675" s="444" t="inlineStr">
        <is>
          <t>calculado</t>
        </is>
      </c>
    </row>
    <row r="676" ht="18.75" customHeight="1" s="225">
      <c r="A676" s="264">
        <f>B676&amp;"-"&amp;C676</f>
        <v/>
      </c>
      <c r="B676" s="442" t="inlineStr">
        <is>
          <t>XIV - CEXT: Vehículos, máquinas, blindaje, etc.</t>
        </is>
      </c>
      <c r="C676" s="443" t="n">
        <v>21</v>
      </c>
      <c r="D676" s="264" t="inlineStr">
        <is>
          <t>Número y ritmo de operaciones en el periodo</t>
        </is>
      </c>
      <c r="E676" s="264" t="inlineStr">
        <is>
          <t>El adquirente realiza cinco o más operaciones al año, o varias en intervalos cortos y regulares.</t>
        </is>
      </c>
      <c r="F676" s="264" t="inlineStr">
        <is>
          <t>El adquirente realiza entre dos y cuatro operaciones al año.</t>
        </is>
      </c>
      <c r="G676" s="264" t="inlineStr">
        <is>
          <t>El adquirente realiza una sola operación en el periodo.</t>
        </is>
      </c>
      <c r="H676" s="444" t="inlineStr">
        <is>
          <t>calculado</t>
        </is>
      </c>
    </row>
    <row r="677" ht="18.75" customHeight="1" s="225">
      <c r="A677" s="264">
        <f>B677&amp;"-"&amp;C677</f>
        <v/>
      </c>
      <c r="B677" s="442" t="inlineStr">
        <is>
          <t>XIV - CEXT: Vehículos, máquinas, blindaje, etc.</t>
        </is>
      </c>
      <c r="C677" s="443" t="n">
        <v>22</v>
      </c>
      <c r="D677" s="264" t="inlineStr">
        <is>
          <t>Canal: certeza de identificación del Cliente</t>
        </is>
      </c>
      <c r="E677" s="264" t="inlineStr">
        <is>
          <t>La operación llega por un gestor, plataforma o intermediario no acreditado: nadie responde por la identificación de el adquirente, y quien opera puede no ser quien dice ser.</t>
        </is>
      </c>
      <c r="F677" s="264" t="inlineStr">
        <is>
          <t>Se identifica a el adquirente de forma remota con verificación documental, o a través de un promotor o representante propio con contrato y responsable señalado.</t>
        </is>
      </c>
      <c r="G677" s="264" t="inlineStr">
        <is>
          <t>El adquirente comparece de forma directa, o se le identifica en remoto con biometría y prueba de vida.</t>
        </is>
      </c>
      <c r="H677" s="444" t="inlineStr">
        <is>
          <t>campo</t>
        </is>
      </c>
    </row>
    <row r="678" ht="18.75" customHeight="1" s="225">
      <c r="A678" s="264">
        <f>B678&amp;"-"&amp;C678</f>
        <v/>
      </c>
      <c r="B678" s="442" t="inlineStr">
        <is>
          <t>XIV - CEXT: Vehículos, máquinas, blindaje, etc.</t>
        </is>
      </c>
      <c r="C678" s="443" t="n">
        <v>23</v>
      </c>
      <c r="D678" s="264" t="inlineStr">
        <is>
          <t>Acreditación del origen de los recursos</t>
        </is>
      </c>
      <c r="E678" s="264" t="inlineStr">
        <is>
          <t>El origen de los recursos se declara sin soporte documental, o no se manifiesta.</t>
        </is>
      </c>
      <c r="F678" s="264" t="inlineStr">
        <is>
          <t>El origen se declara y se acredita sólo de forma parcial.</t>
        </is>
      </c>
      <c r="G678" s="264" t="inlineStr">
        <is>
          <t>El origen se acredita con documentación verificable.</t>
        </is>
      </c>
      <c r="H678" s="444" t="inlineStr">
        <is>
          <t>bandera</t>
        </is>
      </c>
    </row>
    <row r="679" ht="18.75" customHeight="1" s="225">
      <c r="A679" s="264">
        <f>B679&amp;"-"&amp;C679</f>
        <v/>
      </c>
      <c r="B679" s="442" t="inlineStr">
        <is>
          <t>XIV - CEXT: Vehículos, máquinas, blindaje, etc.</t>
        </is>
      </c>
      <c r="C679" s="443" t="n">
        <v>24</v>
      </c>
      <c r="D679" s="264" t="inlineStr">
        <is>
          <t>Acreditación del destino de los recursos o del bien</t>
        </is>
      </c>
      <c r="E679" s="264" t="inlineStr">
        <is>
          <t>El destino no se manifiesta, o los recursos o el bien importado o exportado pasan a un tercero no relacionado con el adquirente.</t>
        </is>
      </c>
      <c r="F679" s="264" t="inlineStr">
        <is>
          <t>El destino se declara y es verificable.</t>
        </is>
      </c>
      <c r="G679" s="264" t="inlineStr">
        <is>
          <t>El destino es el bien importado o exportado mismo, y queda registrado en la operación.</t>
        </is>
      </c>
      <c r="H679" s="444" t="inlineStr">
        <is>
          <t>bandera</t>
        </is>
      </c>
    </row>
    <row r="680" ht="18.75" customHeight="1" s="225">
      <c r="A680" s="264">
        <f>B680&amp;"-"&amp;C680</f>
        <v/>
      </c>
      <c r="B680" s="442" t="inlineStr">
        <is>
          <t>XIV - CEXT: Vehículos, máquinas, blindaje, etc.</t>
        </is>
      </c>
      <c r="C680" s="443" t="n">
        <v>25</v>
      </c>
      <c r="D680" s="264" t="inlineStr">
        <is>
          <t>Combinación de canal e instrumento idónea para el financiamiento al terrorismo</t>
        </is>
      </c>
      <c r="E680" s="264" t="inlineStr">
        <is>
          <t>La operación de comercio exterior combina contratación a distancia sin verificación reforzada con pagos en efectivo o instrumentos al portador.</t>
        </is>
      </c>
      <c r="F680" s="264" t="inlineStr">
        <is>
          <t>Concurre uno solo de los dos: o la contratación remota sin verificación reforzada, o el pago en instrumento no bancarizado.</t>
        </is>
      </c>
      <c r="G680" s="264" t="inlineStr">
        <is>
          <t>Ni la forma de contratar ni la de pagar permiten mover valor de forma anónima.</t>
        </is>
      </c>
      <c r="H680" s="444" t="inlineStr">
        <is>
          <t>bandera</t>
        </is>
      </c>
    </row>
    <row r="681" ht="18.75" customHeight="1" s="225">
      <c r="A681" s="264">
        <f>B681&amp;"-"&amp;C681</f>
        <v/>
      </c>
      <c r="B681" s="442" t="inlineStr">
        <is>
          <t>XV - Arrendamiento de bienes inmuebles (uso o goce)</t>
        </is>
      </c>
      <c r="C681" s="443" t="n">
        <v>1</v>
      </c>
      <c r="D681" s="264" t="inlineStr">
        <is>
          <t>Valor unitario de la operación</t>
        </is>
      </c>
      <c r="E681" s="264" t="inlineStr">
        <is>
          <t>El inmueble arrendado tiene un valor unitario muy por encima del ticket promedio de tu operación de doce meses.</t>
        </is>
      </c>
      <c r="F681" s="264" t="inlineStr">
        <is>
          <t>El inmueble arrendado tiene un valor unitario dentro del rango habitual de tu operación.</t>
        </is>
      </c>
      <c r="G681" s="264" t="inlineStr">
        <is>
          <t>El inmueble arrendado tiene un valor unitario por debajo de tu ticket promedio.</t>
        </is>
      </c>
      <c r="H681" s="444" t="inlineStr">
        <is>
          <t>calculado</t>
        </is>
      </c>
    </row>
    <row r="682" ht="18.75" customHeight="1" s="225">
      <c r="A682" s="264">
        <f>B682&amp;"-"&amp;C682</f>
        <v/>
      </c>
      <c r="B682" s="442" t="inlineStr">
        <is>
          <t>XV - Arrendamiento de bienes inmuebles (uso o goce)</t>
        </is>
      </c>
      <c r="C682" s="443" t="n">
        <v>2</v>
      </c>
      <c r="D682" s="264" t="inlineStr">
        <is>
          <t>Liquidez: facilidad de convertir en dinero</t>
        </is>
      </c>
      <c r="E682" s="264" t="inlineStr">
        <is>
          <t>El inmueble arrendado puede revenderse o cederse de inmediato y prácticamente a su valor íntegro.</t>
        </is>
      </c>
      <c r="F682" s="264" t="inlineStr">
        <is>
          <t>El inmueble arrendado puede revenderse, pero con trámite, plazo o pérdida de valor apreciable.</t>
        </is>
      </c>
      <c r="G682" s="264" t="inlineStr">
        <is>
          <t>El inmueble arrendado es difícil de revender: exige formalidades o registro, o pierde valor de forma significativa.</t>
        </is>
      </c>
      <c r="H682" s="444" t="inlineStr">
        <is>
          <t>bandera</t>
        </is>
      </c>
    </row>
    <row r="683" ht="18.75" customHeight="1" s="225">
      <c r="A683" s="264">
        <f>B683&amp;"-"&amp;C683</f>
        <v/>
      </c>
      <c r="B683" s="442" t="inlineStr">
        <is>
          <t>XV - Arrendamiento de bienes inmuebles (uso o goce)</t>
        </is>
      </c>
      <c r="C683" s="443" t="n">
        <v>3</v>
      </c>
      <c r="D683" s="264" t="inlineStr">
        <is>
          <t>Anonimato: si el beneficiario queda a la vista</t>
        </is>
      </c>
      <c r="E683" s="264" t="inlineStr">
        <is>
          <t>El arrendamiento admite que quien aparece no sea quien recibe el beneficio, sin que quede registro de quién es el beneficiario final.</t>
        </is>
      </c>
      <c r="F683" s="264" t="inlineStr">
        <is>
          <t>Se identifica a el arrendatario, pero el beneficiario final se declara sin documento que lo respalde.</t>
        </is>
      </c>
      <c r="G683" s="264" t="inlineStr">
        <is>
          <t>El arrendatario y el beneficiario final coinciden, y ambos constan en el expediente.</t>
        </is>
      </c>
      <c r="H683" s="444" t="inlineStr">
        <is>
          <t>bandera</t>
        </is>
      </c>
    </row>
    <row r="684" ht="18.75" customHeight="1" s="225">
      <c r="A684" s="264">
        <f>B684&amp;"-"&amp;C684</f>
        <v/>
      </c>
      <c r="B684" s="442" t="inlineStr">
        <is>
          <t>XV - Arrendamiento de bienes inmuebles (uso o goce)</t>
        </is>
      </c>
      <c r="C684" s="443" t="n">
        <v>4</v>
      </c>
      <c r="D684" s="264" t="inlineStr">
        <is>
          <t>Ocultamiento de valor en el precio</t>
        </is>
      </c>
      <c r="E684" s="264" t="inlineStr">
        <is>
          <t>El arrendamiento admite sobrevaluar, subvaluar o fraccionar el precio sin que la contabilidad lo refleje.</t>
        </is>
      </c>
      <c r="F684" s="264" t="inlineStr">
        <is>
          <t>El precio se aparta del valor de referencia, pero existe explicación documentada de la diferencia.</t>
        </is>
      </c>
      <c r="G684" s="264" t="inlineStr">
        <is>
          <t>El precio corresponde al valor de referencia y queda registrado en la contabilidad.</t>
        </is>
      </c>
      <c r="H684" s="444" t="inlineStr">
        <is>
          <t>bandera</t>
        </is>
      </c>
    </row>
    <row r="685" ht="18.75" customHeight="1" s="225">
      <c r="A685" s="264">
        <f>B685&amp;"-"&amp;C685</f>
        <v/>
      </c>
      <c r="B685" s="442" t="inlineStr">
        <is>
          <t>XV - Arrendamiento de bienes inmuebles (uso o goce)</t>
        </is>
      </c>
      <c r="C685" s="443" t="n">
        <v>5</v>
      </c>
      <c r="D685" s="264" t="inlineStr">
        <is>
          <t>Exposición a personas señaladas por terrorismo</t>
        </is>
      </c>
      <c r="E685" s="264" t="inlineStr">
        <is>
          <t>El arrendatario, su beneficiario o su contraparte aparece en listas de sanciones o de organizaciones terroristas.</t>
        </is>
      </c>
      <c r="F685" s="264" t="inlineStr">
        <is>
          <t>Existe un vínculo indirecto —contraparte, domicilio o ruta de los fondos— con una jurisdicción en conflicto o de acción requerida.</t>
        </is>
      </c>
      <c r="G685" s="264" t="inlineStr">
        <is>
          <t>Sin coincidencias ni vínculos con esas listas ni con jurisdicciones en conflicto, con búsqueda documentada.</t>
        </is>
      </c>
      <c r="H685" s="444" t="inlineStr">
        <is>
          <t>campo</t>
        </is>
      </c>
    </row>
    <row r="686" ht="18.75" customHeight="1" s="225">
      <c r="A686" s="264">
        <f>B686&amp;"-"&amp;C686</f>
        <v/>
      </c>
      <c r="B686" s="442" t="inlineStr">
        <is>
          <t>XV - Arrendamiento de bienes inmuebles (uso o goce)</t>
        </is>
      </c>
      <c r="C686" s="443" t="n">
        <v>6</v>
      </c>
      <c r="D686" s="264" t="inlineStr">
        <is>
          <t>Tipo de persona</t>
        </is>
      </c>
      <c r="E686" s="264" t="inlineStr">
        <is>
          <t>El arrendatario es un fideicomiso u otro vehículo sin personalidad jurídica propia. No hay un titular único: la figura permite que quien firma el contrato y quien ocupa el inmueble sean personas distintas y que ninguna aparezca en el contrato.</t>
        </is>
      </c>
      <c r="F686" s="264" t="inlineStr">
        <is>
          <t>El arrendatario es persona moral. La voluntad se forma en órganos y la propiedad está en socios, así que hay que llegar al Beneficiario Controlador para saber quién está realmente detrás.</t>
        </is>
      </c>
      <c r="G686" s="264" t="inlineStr">
        <is>
          <t>El arrendatario es persona física. Coincide quien firma el contrato y quien ocupa el inmueble, y la identificación es directa contra un solo expediente.</t>
        </is>
      </c>
      <c r="H686" s="444" t="inlineStr">
        <is>
          <t>campo</t>
        </is>
      </c>
    </row>
    <row r="687" ht="18.75" customHeight="1" s="225">
      <c r="A687" s="264">
        <f>B687&amp;"-"&amp;C687</f>
        <v/>
      </c>
      <c r="B687" s="442" t="inlineStr">
        <is>
          <t>XV - Arrendamiento de bienes inmuebles (uso o goce)</t>
        </is>
      </c>
      <c r="C687" s="443" t="n">
        <v>7</v>
      </c>
      <c r="D687" s="264" t="inlineStr">
        <is>
          <t>Antigüedad del Cliente</t>
        </is>
      </c>
      <c r="E687" s="264" t="inlineStr">
        <is>
          <t>Persona moral constituida hace menos de dos años, o persona física menor de veintitrés años.</t>
        </is>
      </c>
      <c r="F687" s="264" t="inlineStr">
        <is>
          <t>Persona moral constituida hace entre dos y cinco años.</t>
        </is>
      </c>
      <c r="G687" s="264" t="inlineStr">
        <is>
          <t>Persona moral con más de cinco años de constituida, o persona física de veintitrés años en adelante.</t>
        </is>
      </c>
      <c r="H687" s="444" t="inlineStr">
        <is>
          <t>campo</t>
        </is>
      </c>
    </row>
    <row r="688" ht="18.75" customHeight="1" s="225">
      <c r="A688" s="264">
        <f>B688&amp;"-"&amp;C688</f>
        <v/>
      </c>
      <c r="B688" s="442" t="inlineStr">
        <is>
          <t>XV - Arrendamiento de bienes inmuebles (uso o goce)</t>
        </is>
      </c>
      <c r="C688" s="443" t="n">
        <v>8</v>
      </c>
      <c r="D688" s="264" t="inlineStr">
        <is>
          <t>Giro o actividad declarada</t>
        </is>
      </c>
      <c r="E688" s="264" t="inlineStr">
        <is>
          <t>El giro que declara el arrendatario es a su vez una Actividad Vulnerable del artículo 17, o no se acredita con documento alguno.</t>
        </is>
      </c>
      <c r="F688" s="264" t="inlineStr">
        <is>
          <t>El giro se declara y se acredita sólo de forma parcial.</t>
        </is>
      </c>
      <c r="G688" s="264" t="inlineStr">
        <is>
          <t>El giro se acredita con documento: constancia de situación fiscal, acta constitutiva o comprobante de empleo.</t>
        </is>
      </c>
      <c r="H688" s="444" t="inlineStr">
        <is>
          <t>campo</t>
        </is>
      </c>
    </row>
    <row r="689" ht="18.75" customHeight="1" s="225">
      <c r="A689" s="264">
        <f>B689&amp;"-"&amp;C689</f>
        <v/>
      </c>
      <c r="B689" s="442" t="inlineStr">
        <is>
          <t>XV - Arrendamiento de bienes inmuebles (uso o goce)</t>
        </is>
      </c>
      <c r="C689" s="443" t="n">
        <v>9</v>
      </c>
      <c r="D689" s="264" t="inlineStr">
        <is>
          <t>Nacionalidad</t>
        </is>
      </c>
      <c r="E689" s="264" t="inlineStr">
        <is>
          <t>Nacionalidad de país o jurisdicción señalada por la UIF, o no determinada.</t>
        </is>
      </c>
      <c r="F689" s="264" t="inlineStr">
        <is>
          <t>Nacionalidad extranjera de país sin señalamiento.</t>
        </is>
      </c>
      <c r="G689" s="264" t="inlineStr">
        <is>
          <t>Nacionalidad mexicana.</t>
        </is>
      </c>
      <c r="H689" s="444" t="inlineStr">
        <is>
          <t>campo</t>
        </is>
      </c>
    </row>
    <row r="690" ht="18.75" customHeight="1" s="225">
      <c r="A690" s="264">
        <f>B690&amp;"-"&amp;C690</f>
        <v/>
      </c>
      <c r="B690" s="442" t="inlineStr">
        <is>
          <t>XV - Arrendamiento de bienes inmuebles (uso o goce)</t>
        </is>
      </c>
      <c r="C690" s="443" t="n">
        <v>10</v>
      </c>
      <c r="D690" s="264" t="inlineStr">
        <is>
          <t>País y entidad de residencia</t>
        </is>
      </c>
      <c r="E690" s="264" t="inlineStr">
        <is>
          <t>Residencia en jurisdicción de régimen fiscal preferente o señalada por deficiencias, o domicilio no verificable.</t>
        </is>
      </c>
      <c r="F690" s="264" t="inlineStr">
        <is>
          <t>Residencia en el extranjero sin señalamiento, o en entidad federativa señalada en la ENR.</t>
        </is>
      </c>
      <c r="G690" s="264" t="inlineStr">
        <is>
          <t>Residencia en México, en entidad federativa sin señalamiento en la ENR.</t>
        </is>
      </c>
      <c r="H690" s="444" t="inlineStr">
        <is>
          <t>campo</t>
        </is>
      </c>
    </row>
    <row r="691" ht="18.75" customHeight="1" s="225">
      <c r="A691" s="264">
        <f>B691&amp;"-"&amp;C691</f>
        <v/>
      </c>
      <c r="B691" s="442" t="inlineStr">
        <is>
          <t>XV - Arrendamiento de bienes inmuebles (uso o goce)</t>
        </is>
      </c>
      <c r="C691" s="443" t="n">
        <v>11</v>
      </c>
      <c r="D691" s="264" t="inlineStr">
        <is>
          <t>Condición de Persona Políticamente Expuesta</t>
        </is>
      </c>
      <c r="E691" s="264" t="inlineStr">
        <is>
          <t>Persona Políticamente Expuesta extranjera, o nacional cuyo comportamiento transaccional no corresponde con sus ingresos y funciones.</t>
        </is>
      </c>
      <c r="F691" s="264" t="inlineStr">
        <is>
          <t>Persona Políticamente Expuesta nacional con comportamiento congruente, o familiar o allegado de una.</t>
        </is>
      </c>
      <c r="G691" s="264" t="inlineStr">
        <is>
          <t>Sin condición de Persona Políticamente Expuesta, con búsqueda documentada.</t>
        </is>
      </c>
      <c r="H691" s="444" t="inlineStr">
        <is>
          <t>campo</t>
        </is>
      </c>
    </row>
    <row r="692" ht="18.75" customHeight="1" s="225">
      <c r="A692" s="264">
        <f>B692&amp;"-"&amp;C692</f>
        <v/>
      </c>
      <c r="B692" s="442" t="inlineStr">
        <is>
          <t>XV - Arrendamiento de bienes inmuebles (uso o goce)</t>
        </is>
      </c>
      <c r="C692" s="443" t="n">
        <v>12</v>
      </c>
      <c r="D692" s="264" t="inlineStr">
        <is>
          <t>Resultado de la búsqueda en listas</t>
        </is>
      </c>
      <c r="E692" s="264" t="inlineStr">
        <is>
          <t>Coincidencia positiva en listas de personas bloqueadas o de sanciones, o búsqueda no realizada o sin constancia.</t>
        </is>
      </c>
      <c r="F692" s="264" t="inlineStr">
        <is>
          <t>Coincidencia descartada por homonimia acreditada, con constancia.</t>
        </is>
      </c>
      <c r="G692" s="264" t="inlineStr">
        <is>
          <t>Sin coincidencia, con constancia de la búsqueda y su fecha.</t>
        </is>
      </c>
      <c r="H692" s="444" t="inlineStr">
        <is>
          <t>campo</t>
        </is>
      </c>
    </row>
    <row r="693" ht="18.75" customHeight="1" s="225">
      <c r="A693" s="264">
        <f>B693&amp;"-"&amp;C693</f>
        <v/>
      </c>
      <c r="B693" s="442" t="inlineStr">
        <is>
          <t>XV - Arrendamiento de bienes inmuebles (uso o goce)</t>
        </is>
      </c>
      <c r="C693" s="443" t="n">
        <v>13</v>
      </c>
      <c r="D693" s="264" t="inlineStr">
        <is>
          <t>Profundidad de la cadena de control</t>
        </is>
      </c>
      <c r="E693" s="264" t="inlineStr">
        <is>
          <t>No se logra identificar al Beneficiario Controlador de el arrendatario, o la cadena no es acreditable.</t>
        </is>
      </c>
      <c r="F693" s="264" t="inlineStr">
        <is>
          <t>El Beneficiario Controlador se identifica atravesando dos o más niveles societarios o fiduciarios.</t>
        </is>
      </c>
      <c r="G693" s="264" t="inlineStr">
        <is>
          <t>El Beneficiario Controlador se identifica en un solo nivel, o el arrendatario es su propio beneficiario.</t>
        </is>
      </c>
      <c r="H693" s="444" t="inlineStr">
        <is>
          <t>calculado</t>
        </is>
      </c>
    </row>
    <row r="694" ht="18.75" customHeight="1" s="225">
      <c r="A694" s="264">
        <f>B694&amp;"-"&amp;C694</f>
        <v/>
      </c>
      <c r="B694" s="442" t="inlineStr">
        <is>
          <t>XV - Arrendamiento de bienes inmuebles (uso o goce)</t>
        </is>
      </c>
      <c r="C694" s="443" t="n">
        <v>14</v>
      </c>
      <c r="D694" s="264" t="inlineStr">
        <is>
          <t>País donde se realiza la operación</t>
        </is>
      </c>
      <c r="E694" s="264" t="inlineStr">
        <is>
          <t>El arrendamiento se pacta con o desde una jurisdicción de alto riesgo o no cooperante.</t>
        </is>
      </c>
      <c r="F694" s="264" t="inlineStr">
        <is>
          <t>El arrendamiento se pacta con una jurisdicción extranjera sin señalamiento.</t>
        </is>
      </c>
      <c r="G694" s="264" t="inlineStr">
        <is>
          <t>El arrendamiento se realiza íntegramente en México.</t>
        </is>
      </c>
      <c r="H694" s="444" t="inlineStr">
        <is>
          <t>campo</t>
        </is>
      </c>
    </row>
    <row r="695" ht="18.75" customHeight="1" s="225">
      <c r="A695" s="264">
        <f>B695&amp;"-"&amp;C695</f>
        <v/>
      </c>
      <c r="B695" s="442" t="inlineStr">
        <is>
          <t>XV - Arrendamiento de bienes inmuebles (uso o goce)</t>
        </is>
      </c>
      <c r="C695" s="443" t="n">
        <v>15</v>
      </c>
      <c r="D695" s="264" t="inlineStr">
        <is>
          <t>Entidad o municipio de la operación</t>
        </is>
      </c>
      <c r="E695" s="264" t="inlineStr">
        <is>
          <t>El arrendamiento ocurre en un municipio o zona identificada de alto riesgo.</t>
        </is>
      </c>
      <c r="F695" s="264" t="inlineStr">
        <is>
          <t>El arrendamiento ocurre en una entidad federativa con señalamiento en la ENR.</t>
        </is>
      </c>
      <c r="G695" s="264" t="inlineStr">
        <is>
          <t>El arrendamiento ocurre en una entidad federativa sin señalamiento en la ENR.</t>
        </is>
      </c>
      <c r="H695" s="444" t="inlineStr">
        <is>
          <t>campo</t>
        </is>
      </c>
    </row>
    <row r="696" ht="18.75" customHeight="1" s="225">
      <c r="A696" s="264">
        <f>B696&amp;"-"&amp;C696</f>
        <v/>
      </c>
      <c r="B696" s="442" t="inlineStr">
        <is>
          <t>XV - Arrendamiento de bienes inmuebles (uso o goce)</t>
        </is>
      </c>
      <c r="C696" s="443" t="n">
        <v>16</v>
      </c>
      <c r="D696" s="264" t="inlineStr">
        <is>
          <t>Vínculo con jurisdicción sancionada o de acción requerida</t>
        </is>
      </c>
      <c r="E696" s="264" t="inlineStr">
        <is>
          <t>Hay exposición directa a una jurisdicción sancionada, en conflicto armado o de acción requerida del GAFI.</t>
        </is>
      </c>
      <c r="F696" s="264" t="inlineStr">
        <is>
          <t>La exposición es indirecta: una contraparte o la ruta de los fondos toca esa jurisdicción.</t>
        </is>
      </c>
      <c r="G696" s="264" t="inlineStr">
        <is>
          <t>Sin exposición a jurisdicciones sancionadas, en conflicto ni de acción requerida.</t>
        </is>
      </c>
      <c r="H696" s="444" t="inlineStr">
        <is>
          <t>campo</t>
        </is>
      </c>
    </row>
    <row r="697" ht="18.75" customHeight="1" s="225">
      <c r="A697" s="264">
        <f>B697&amp;"-"&amp;C697</f>
        <v/>
      </c>
      <c r="B697" s="442" t="inlineStr">
        <is>
          <t>XV - Arrendamiento de bienes inmuebles (uso o goce)</t>
        </is>
      </c>
      <c r="C697" s="443" t="n">
        <v>17</v>
      </c>
      <c r="D697" s="264" t="inlineStr">
        <is>
          <t>Coincidencia entre domicilio y lugar de la operación</t>
        </is>
      </c>
      <c r="E697" s="264" t="inlineStr">
        <is>
          <t>El domicilio de el arrendatario y el lugar de el arrendamiento no coinciden, y no hay explicación documentada.</t>
        </is>
      </c>
      <c r="F697" s="264" t="inlineStr">
        <is>
          <t>No coinciden, pero consta por escrito la razón de operar en ese lugar.</t>
        </is>
      </c>
      <c r="G697" s="264" t="inlineStr">
        <is>
          <t>El domicilio de el arrendatario y el lugar de el arrendamiento coinciden.</t>
        </is>
      </c>
      <c r="H697" s="444" t="inlineStr">
        <is>
          <t>calculado</t>
        </is>
      </c>
    </row>
    <row r="698" ht="18.75" customHeight="1" s="225">
      <c r="A698" s="264">
        <f>B698&amp;"-"&amp;C698</f>
        <v/>
      </c>
      <c r="B698" s="442" t="inlineStr">
        <is>
          <t>XV - Arrendamiento de bienes inmuebles (uso o goce)</t>
        </is>
      </c>
      <c r="C698" s="443" t="n">
        <v>18</v>
      </c>
      <c r="D698" s="264" t="inlineStr">
        <is>
          <t>Instrumento con que se paga</t>
        </is>
      </c>
      <c r="E698" s="264" t="inlineStr">
        <is>
          <t>Efectivo por encima de tu umbral interno, instrumento al portador, o pago en especie.</t>
        </is>
      </c>
      <c r="F698" s="264" t="inlineStr">
        <is>
          <t>Pago mixto, con un componente en efectivo por debajo de tu umbral interno.</t>
        </is>
      </c>
      <c r="G698" s="264" t="inlineStr">
        <is>
          <t>Transferencia electrónica o cheque nominativo desde una cuenta a nombre de el arrendatario.</t>
        </is>
      </c>
      <c r="H698" s="444" t="inlineStr">
        <is>
          <t>campo</t>
        </is>
      </c>
    </row>
    <row r="699" ht="18.75" customHeight="1" s="225">
      <c r="A699" s="264">
        <f>B699&amp;"-"&amp;C699</f>
        <v/>
      </c>
      <c r="B699" s="442" t="inlineStr">
        <is>
          <t>XV - Arrendamiento de bienes inmuebles (uso o goce)</t>
        </is>
      </c>
      <c r="C699" s="443" t="n">
        <v>19</v>
      </c>
      <c r="D699" s="264" t="inlineStr">
        <is>
          <t>Moneda de la operación</t>
        </is>
      </c>
      <c r="E699" s="264" t="inlineStr">
        <is>
          <t>Divisa distinta del dólar estadounidense y del euro, o activo virtual.</t>
        </is>
      </c>
      <c r="F699" s="264" t="inlineStr">
        <is>
          <t>Dólar estadounidense o euro, con soporte documental.</t>
        </is>
      </c>
      <c r="G699" s="264" t="inlineStr">
        <is>
          <t>Peso mexicano.</t>
        </is>
      </c>
      <c r="H699" s="444" t="inlineStr">
        <is>
          <t>campo</t>
        </is>
      </c>
    </row>
    <row r="700" ht="18.75" customHeight="1" s="225">
      <c r="A700" s="264">
        <f>B700&amp;"-"&amp;C700</f>
        <v/>
      </c>
      <c r="B700" s="442" t="inlineStr">
        <is>
          <t>XV - Arrendamiento de bienes inmuebles (uso o goce)</t>
        </is>
      </c>
      <c r="C700" s="443" t="n">
        <v>20</v>
      </c>
      <c r="D700" s="264" t="inlineStr">
        <is>
          <t>Monto frente al umbral de tu fracción</t>
        </is>
      </c>
      <c r="E700" s="264" t="inlineStr">
        <is>
          <t>El arrendamiento iguala o supera el umbral de Aviso de tu fracción del artículo 17.</t>
        </is>
      </c>
      <c r="F700" s="264" t="inlineStr">
        <is>
          <t>El arrendamiento se sitúa entre el umbral de identificación y el de Aviso.</t>
        </is>
      </c>
      <c r="G700" s="264" t="inlineStr">
        <is>
          <t>El arrendamiento queda por debajo del umbral de identificación.</t>
        </is>
      </c>
      <c r="H700" s="444" t="inlineStr">
        <is>
          <t>calculado</t>
        </is>
      </c>
    </row>
    <row r="701" ht="18.75" customHeight="1" s="225">
      <c r="A701" s="264">
        <f>B701&amp;"-"&amp;C701</f>
        <v/>
      </c>
      <c r="B701" s="442" t="inlineStr">
        <is>
          <t>XV - Arrendamiento de bienes inmuebles (uso o goce)</t>
        </is>
      </c>
      <c r="C701" s="443" t="n">
        <v>21</v>
      </c>
      <c r="D701" s="264" t="inlineStr">
        <is>
          <t>Número y ritmo de operaciones en el periodo</t>
        </is>
      </c>
      <c r="E701" s="264" t="inlineStr">
        <is>
          <t>El arrendatario realiza cinco o más operaciones al año, o varias en intervalos cortos y regulares.</t>
        </is>
      </c>
      <c r="F701" s="264" t="inlineStr">
        <is>
          <t>El arrendatario realiza entre dos y cuatro operaciones al año.</t>
        </is>
      </c>
      <c r="G701" s="264" t="inlineStr">
        <is>
          <t>El arrendatario realiza una sola operación en el periodo.</t>
        </is>
      </c>
      <c r="H701" s="444" t="inlineStr">
        <is>
          <t>calculado</t>
        </is>
      </c>
    </row>
    <row r="702" ht="18.75" customHeight="1" s="225">
      <c r="A702" s="264">
        <f>B702&amp;"-"&amp;C702</f>
        <v/>
      </c>
      <c r="B702" s="442" t="inlineStr">
        <is>
          <t>XV - Arrendamiento de bienes inmuebles (uso o goce)</t>
        </is>
      </c>
      <c r="C702" s="443" t="n">
        <v>22</v>
      </c>
      <c r="D702" s="264" t="inlineStr">
        <is>
          <t>Canal: certeza de identificación del Cliente</t>
        </is>
      </c>
      <c r="E702" s="264" t="inlineStr">
        <is>
          <t>La operación llega por un gestor, plataforma o intermediario no acreditado: nadie responde por la identificación de el arrendatario, y quien opera puede no ser quien dice ser.</t>
        </is>
      </c>
      <c r="F702" s="264" t="inlineStr">
        <is>
          <t>Se identifica a el arrendatario de forma remota con verificación documental, o a través de un promotor o representante propio con contrato y responsable señalado.</t>
        </is>
      </c>
      <c r="G702" s="264" t="inlineStr">
        <is>
          <t>El arrendatario comparece de forma directa, o se le identifica en remoto con biometría y prueba de vida.</t>
        </is>
      </c>
      <c r="H702" s="444" t="inlineStr">
        <is>
          <t>campo</t>
        </is>
      </c>
    </row>
    <row r="703" ht="18.75" customHeight="1" s="225">
      <c r="A703" s="264">
        <f>B703&amp;"-"&amp;C703</f>
        <v/>
      </c>
      <c r="B703" s="442" t="inlineStr">
        <is>
          <t>XV - Arrendamiento de bienes inmuebles (uso o goce)</t>
        </is>
      </c>
      <c r="C703" s="443" t="n">
        <v>23</v>
      </c>
      <c r="D703" s="264" t="inlineStr">
        <is>
          <t>Acreditación del origen de los recursos</t>
        </is>
      </c>
      <c r="E703" s="264" t="inlineStr">
        <is>
          <t>El origen de los recursos se declara sin soporte documental, o no se manifiesta.</t>
        </is>
      </c>
      <c r="F703" s="264" t="inlineStr">
        <is>
          <t>El origen se declara y se acredita sólo de forma parcial.</t>
        </is>
      </c>
      <c r="G703" s="264" t="inlineStr">
        <is>
          <t>El origen se acredita con documentación verificable.</t>
        </is>
      </c>
      <c r="H703" s="444" t="inlineStr">
        <is>
          <t>bandera</t>
        </is>
      </c>
    </row>
    <row r="704" ht="18.75" customHeight="1" s="225">
      <c r="A704" s="264">
        <f>B704&amp;"-"&amp;C704</f>
        <v/>
      </c>
      <c r="B704" s="442" t="inlineStr">
        <is>
          <t>XV - Arrendamiento de bienes inmuebles (uso o goce)</t>
        </is>
      </c>
      <c r="C704" s="443" t="n">
        <v>24</v>
      </c>
      <c r="D704" s="264" t="inlineStr">
        <is>
          <t>Acreditación del destino de los recursos o del bien</t>
        </is>
      </c>
      <c r="E704" s="264" t="inlineStr">
        <is>
          <t>El destino no se manifiesta, o los recursos o el inmueble arrendado pasan a un tercero no relacionado con el arrendatario.</t>
        </is>
      </c>
      <c r="F704" s="264" t="inlineStr">
        <is>
          <t>El destino se declara y es verificable.</t>
        </is>
      </c>
      <c r="G704" s="264" t="inlineStr">
        <is>
          <t>El destino es el inmueble arrendado mismo, y queda registrado en la operación.</t>
        </is>
      </c>
      <c r="H704" s="444" t="inlineStr">
        <is>
          <t>bandera</t>
        </is>
      </c>
    </row>
    <row r="705" ht="18.75" customHeight="1" s="225">
      <c r="A705" s="264">
        <f>B705&amp;"-"&amp;C705</f>
        <v/>
      </c>
      <c r="B705" s="442" t="inlineStr">
        <is>
          <t>XV - Arrendamiento de bienes inmuebles (uso o goce)</t>
        </is>
      </c>
      <c r="C705" s="443" t="n">
        <v>25</v>
      </c>
      <c r="D705" s="264" t="inlineStr">
        <is>
          <t>Combinación de canal e instrumento idónea para el financiamiento al terrorismo</t>
        </is>
      </c>
      <c r="E705" s="264" t="inlineStr">
        <is>
          <t>El arrendamiento combina contratación a distancia sin verificación reforzada con pagos en efectivo o instrumentos al portador.</t>
        </is>
      </c>
      <c r="F705" s="264" t="inlineStr">
        <is>
          <t>Concurre uno solo de los dos: o la contratación remota sin verificación reforzada, o el pago en instrumento no bancarizado.</t>
        </is>
      </c>
      <c r="G705" s="264" t="inlineStr">
        <is>
          <t>Ni la forma de contratar ni la de pagar permiten mover valor de forma anónima.</t>
        </is>
      </c>
      <c r="H705" s="444" t="inlineStr">
        <is>
          <t>bandera</t>
        </is>
      </c>
    </row>
    <row r="706" ht="18.75" customHeight="1" s="225">
      <c r="A706" s="264">
        <f>B706&amp;"-"&amp;C706</f>
        <v/>
      </c>
      <c r="B706" s="442" t="inlineStr">
        <is>
          <t>XVI - Activos virtuales (PSAV): operación de intercambio/transferencia</t>
        </is>
      </c>
      <c r="C706" s="443" t="n">
        <v>1</v>
      </c>
      <c r="D706" s="264" t="inlineStr">
        <is>
          <t>Valor unitario de la operación</t>
        </is>
      </c>
      <c r="E706" s="264" t="inlineStr">
        <is>
          <t>El activo virtual tiene un valor unitario muy por encima del ticket promedio de tu operación de doce meses.</t>
        </is>
      </c>
      <c r="F706" s="264" t="inlineStr">
        <is>
          <t>El activo virtual tiene un valor unitario dentro del rango habitual de tu operación.</t>
        </is>
      </c>
      <c r="G706" s="264" t="inlineStr">
        <is>
          <t>El activo virtual tiene un valor unitario por debajo de tu ticket promedio.</t>
        </is>
      </c>
      <c r="H706" s="444" t="inlineStr">
        <is>
          <t>calculado</t>
        </is>
      </c>
    </row>
    <row r="707" ht="18.75" customHeight="1" s="225">
      <c r="A707" s="264">
        <f>B707&amp;"-"&amp;C707</f>
        <v/>
      </c>
      <c r="B707" s="442" t="inlineStr">
        <is>
          <t>XVI - Activos virtuales (PSAV): operación de intercambio/transferencia</t>
        </is>
      </c>
      <c r="C707" s="443" t="n">
        <v>2</v>
      </c>
      <c r="D707" s="264" t="inlineStr">
        <is>
          <t>Liquidez: facilidad de convertir en dinero</t>
        </is>
      </c>
      <c r="E707" s="264" t="inlineStr">
        <is>
          <t>El activo virtual puede revenderse o cederse de inmediato y prácticamente a su valor íntegro.</t>
        </is>
      </c>
      <c r="F707" s="264" t="inlineStr">
        <is>
          <t>El activo virtual puede revenderse, pero con trámite, plazo o pérdida de valor apreciable.</t>
        </is>
      </c>
      <c r="G707" s="264" t="inlineStr">
        <is>
          <t>El activo virtual es difícil de revender: exige formalidades o registro, o pierde valor de forma significativa.</t>
        </is>
      </c>
      <c r="H707" s="444" t="inlineStr">
        <is>
          <t>bandera</t>
        </is>
      </c>
    </row>
    <row r="708" ht="18.75" customHeight="1" s="225">
      <c r="A708" s="264">
        <f>B708&amp;"-"&amp;C708</f>
        <v/>
      </c>
      <c r="B708" s="442" t="inlineStr">
        <is>
          <t>XVI - Activos virtuales (PSAV): operación de intercambio/transferencia</t>
        </is>
      </c>
      <c r="C708" s="443" t="n">
        <v>3</v>
      </c>
      <c r="D708" s="264" t="inlineStr">
        <is>
          <t>Anonimato: si el beneficiario queda a la vista</t>
        </is>
      </c>
      <c r="E708" s="264" t="inlineStr">
        <is>
          <t>La operación de intercambio o transferencia admite que quien aparece no sea quien recibe el beneficio, sin que quede registro de quién es el beneficiario final.</t>
        </is>
      </c>
      <c r="F708" s="264" t="inlineStr">
        <is>
          <t>Se identifica a el usuario, pero el beneficiario final se declara sin documento que lo respalde.</t>
        </is>
      </c>
      <c r="G708" s="264" t="inlineStr">
        <is>
          <t>El usuario y el beneficiario final coinciden, y ambos constan en el expediente.</t>
        </is>
      </c>
      <c r="H708" s="444" t="inlineStr">
        <is>
          <t>bandera</t>
        </is>
      </c>
    </row>
    <row r="709" ht="18.75" customHeight="1" s="225">
      <c r="A709" s="264">
        <f>B709&amp;"-"&amp;C709</f>
        <v/>
      </c>
      <c r="B709" s="442" t="inlineStr">
        <is>
          <t>XVI - Activos virtuales (PSAV): operación de intercambio/transferencia</t>
        </is>
      </c>
      <c r="C709" s="443" t="n">
        <v>4</v>
      </c>
      <c r="D709" s="264" t="inlineStr">
        <is>
          <t>Ocultamiento de valor en el precio</t>
        </is>
      </c>
      <c r="E709" s="264" t="inlineStr">
        <is>
          <t>La operación de intercambio o transferencia admite sobrevaluar, subvaluar o fraccionar el precio sin que la contabilidad lo refleje.</t>
        </is>
      </c>
      <c r="F709" s="264" t="inlineStr">
        <is>
          <t>El precio se aparta del valor de referencia, pero existe explicación documentada de la diferencia.</t>
        </is>
      </c>
      <c r="G709" s="264" t="inlineStr">
        <is>
          <t>El precio corresponde al valor de referencia y queda registrado en la contabilidad.</t>
        </is>
      </c>
      <c r="H709" s="444" t="inlineStr">
        <is>
          <t>bandera</t>
        </is>
      </c>
    </row>
    <row r="710" ht="18.75" customHeight="1" s="225">
      <c r="A710" s="264">
        <f>B710&amp;"-"&amp;C710</f>
        <v/>
      </c>
      <c r="B710" s="442" t="inlineStr">
        <is>
          <t>XVI - Activos virtuales (PSAV): operación de intercambio/transferencia</t>
        </is>
      </c>
      <c r="C710" s="443" t="n">
        <v>5</v>
      </c>
      <c r="D710" s="264" t="inlineStr">
        <is>
          <t>Exposición a personas señaladas por terrorismo</t>
        </is>
      </c>
      <c r="E710" s="264" t="inlineStr">
        <is>
          <t>El usuario, su beneficiario o su contraparte aparece en listas de sanciones o de organizaciones terroristas.</t>
        </is>
      </c>
      <c r="F710" s="264" t="inlineStr">
        <is>
          <t>Existe un vínculo indirecto —contraparte, domicilio o ruta de los fondos— con una jurisdicción en conflicto o de acción requerida.</t>
        </is>
      </c>
      <c r="G710" s="264" t="inlineStr">
        <is>
          <t>Sin coincidencias ni vínculos con esas listas ni con jurisdicciones en conflicto, con búsqueda documentada.</t>
        </is>
      </c>
      <c r="H710" s="444" t="inlineStr">
        <is>
          <t>campo</t>
        </is>
      </c>
    </row>
    <row r="711" ht="18.75" customHeight="1" s="225">
      <c r="A711" s="264">
        <f>B711&amp;"-"&amp;C711</f>
        <v/>
      </c>
      <c r="B711" s="442" t="inlineStr">
        <is>
          <t>XVI - Activos virtuales (PSAV): operación de intercambio/transferencia</t>
        </is>
      </c>
      <c r="C711" s="443" t="n">
        <v>6</v>
      </c>
      <c r="D711" s="264" t="inlineStr">
        <is>
          <t>Tipo de persona</t>
        </is>
      </c>
      <c r="E711" s="264" t="inlineStr">
        <is>
          <t>El usuario del servicio es un fideicomiso u otro vehículo sin personalidad jurídica propia. No hay un titular único: la figura permite que quien ordena la operación y quien recibe los activos sean personas distintas y que ninguna aparezca en el contrato.</t>
        </is>
      </c>
      <c r="F711" s="264" t="inlineStr">
        <is>
          <t>El usuario del servicio es persona moral. La voluntad se forma en órganos y la propiedad está en socios, así que hay que llegar al Beneficiario Controlador para saber quién está realmente detrás.</t>
        </is>
      </c>
      <c r="G711" s="264" t="inlineStr">
        <is>
          <t>El usuario del servicio es persona física. Coincide quien ordena la operación y quien recibe los activos, y la identificación es directa contra un solo expediente.</t>
        </is>
      </c>
      <c r="H711" s="444" t="inlineStr">
        <is>
          <t>campo</t>
        </is>
      </c>
    </row>
    <row r="712" ht="18.75" customHeight="1" s="225">
      <c r="A712" s="264">
        <f>B712&amp;"-"&amp;C712</f>
        <v/>
      </c>
      <c r="B712" s="442" t="inlineStr">
        <is>
          <t>XVI - Activos virtuales (PSAV): operación de intercambio/transferencia</t>
        </is>
      </c>
      <c r="C712" s="443" t="n">
        <v>7</v>
      </c>
      <c r="D712" s="264" t="inlineStr">
        <is>
          <t>Antigüedad del Cliente</t>
        </is>
      </c>
      <c r="E712" s="264" t="inlineStr">
        <is>
          <t>Persona moral constituida hace menos de dos años, o persona física menor de veintitrés años.</t>
        </is>
      </c>
      <c r="F712" s="264" t="inlineStr">
        <is>
          <t>Persona moral constituida hace entre dos y cinco años.</t>
        </is>
      </c>
      <c r="G712" s="264" t="inlineStr">
        <is>
          <t>Persona moral con más de cinco años de constituida, o persona física de veintitrés años en adelante.</t>
        </is>
      </c>
      <c r="H712" s="444" t="inlineStr">
        <is>
          <t>campo</t>
        </is>
      </c>
    </row>
    <row r="713" ht="18.75" customHeight="1" s="225">
      <c r="A713" s="264">
        <f>B713&amp;"-"&amp;C713</f>
        <v/>
      </c>
      <c r="B713" s="442" t="inlineStr">
        <is>
          <t>XVI - Activos virtuales (PSAV): operación de intercambio/transferencia</t>
        </is>
      </c>
      <c r="C713" s="443" t="n">
        <v>8</v>
      </c>
      <c r="D713" s="264" t="inlineStr">
        <is>
          <t>Giro o actividad declarada</t>
        </is>
      </c>
      <c r="E713" s="264" t="inlineStr">
        <is>
          <t>El giro que declara el usuario es a su vez una Actividad Vulnerable del artículo 17, o no se acredita con documento alguno.</t>
        </is>
      </c>
      <c r="F713" s="264" t="inlineStr">
        <is>
          <t>El giro se declara y se acredita sólo de forma parcial.</t>
        </is>
      </c>
      <c r="G713" s="264" t="inlineStr">
        <is>
          <t>El giro se acredita con documento: constancia de situación fiscal, acta constitutiva o comprobante de empleo.</t>
        </is>
      </c>
      <c r="H713" s="444" t="inlineStr">
        <is>
          <t>campo</t>
        </is>
      </c>
    </row>
    <row r="714" ht="18.75" customHeight="1" s="225">
      <c r="A714" s="264">
        <f>B714&amp;"-"&amp;C714</f>
        <v/>
      </c>
      <c r="B714" s="442" t="inlineStr">
        <is>
          <t>XVI - Activos virtuales (PSAV): operación de intercambio/transferencia</t>
        </is>
      </c>
      <c r="C714" s="443" t="n">
        <v>9</v>
      </c>
      <c r="D714" s="264" t="inlineStr">
        <is>
          <t>Nacionalidad</t>
        </is>
      </c>
      <c r="E714" s="264" t="inlineStr">
        <is>
          <t>Nacionalidad de país o jurisdicción señalada por la UIF, o no determinada.</t>
        </is>
      </c>
      <c r="F714" s="264" t="inlineStr">
        <is>
          <t>Nacionalidad extranjera de país sin señalamiento.</t>
        </is>
      </c>
      <c r="G714" s="264" t="inlineStr">
        <is>
          <t>Nacionalidad mexicana.</t>
        </is>
      </c>
      <c r="H714" s="444" t="inlineStr">
        <is>
          <t>campo</t>
        </is>
      </c>
    </row>
    <row r="715" ht="18.75" customHeight="1" s="225">
      <c r="A715" s="264">
        <f>B715&amp;"-"&amp;C715</f>
        <v/>
      </c>
      <c r="B715" s="442" t="inlineStr">
        <is>
          <t>XVI - Activos virtuales (PSAV): operación de intercambio/transferencia</t>
        </is>
      </c>
      <c r="C715" s="443" t="n">
        <v>10</v>
      </c>
      <c r="D715" s="264" t="inlineStr">
        <is>
          <t>País y entidad de residencia</t>
        </is>
      </c>
      <c r="E715" s="264" t="inlineStr">
        <is>
          <t>Residencia en jurisdicción de régimen fiscal preferente o señalada por deficiencias, o domicilio no verificable.</t>
        </is>
      </c>
      <c r="F715" s="264" t="inlineStr">
        <is>
          <t>Residencia en el extranjero sin señalamiento, o en entidad federativa señalada en la ENR.</t>
        </is>
      </c>
      <c r="G715" s="264" t="inlineStr">
        <is>
          <t>Residencia en México, en entidad federativa sin señalamiento en la ENR.</t>
        </is>
      </c>
      <c r="H715" s="444" t="inlineStr">
        <is>
          <t>campo</t>
        </is>
      </c>
    </row>
    <row r="716" ht="18.75" customHeight="1" s="225">
      <c r="A716" s="264">
        <f>B716&amp;"-"&amp;C716</f>
        <v/>
      </c>
      <c r="B716" s="442" t="inlineStr">
        <is>
          <t>XVI - Activos virtuales (PSAV): operación de intercambio/transferencia</t>
        </is>
      </c>
      <c r="C716" s="443" t="n">
        <v>11</v>
      </c>
      <c r="D716" s="264" t="inlineStr">
        <is>
          <t>Condición de Persona Políticamente Expuesta</t>
        </is>
      </c>
      <c r="E716" s="264" t="inlineStr">
        <is>
          <t>Persona Políticamente Expuesta extranjera, o nacional cuyo comportamiento transaccional no corresponde con sus ingresos y funciones.</t>
        </is>
      </c>
      <c r="F716" s="264" t="inlineStr">
        <is>
          <t>Persona Políticamente Expuesta nacional con comportamiento congruente, o familiar o allegado de una.</t>
        </is>
      </c>
      <c r="G716" s="264" t="inlineStr">
        <is>
          <t>Sin condición de Persona Políticamente Expuesta, con búsqueda documentada.</t>
        </is>
      </c>
      <c r="H716" s="444" t="inlineStr">
        <is>
          <t>campo</t>
        </is>
      </c>
    </row>
    <row r="717" ht="18.75" customHeight="1" s="225">
      <c r="A717" s="264">
        <f>B717&amp;"-"&amp;C717</f>
        <v/>
      </c>
      <c r="B717" s="442" t="inlineStr">
        <is>
          <t>XVI - Activos virtuales (PSAV): operación de intercambio/transferencia</t>
        </is>
      </c>
      <c r="C717" s="443" t="n">
        <v>12</v>
      </c>
      <c r="D717" s="264" t="inlineStr">
        <is>
          <t>Resultado de la búsqueda en listas</t>
        </is>
      </c>
      <c r="E717" s="264" t="inlineStr">
        <is>
          <t>Coincidencia positiva en listas de personas bloqueadas o de sanciones, o búsqueda no realizada o sin constancia.</t>
        </is>
      </c>
      <c r="F717" s="264" t="inlineStr">
        <is>
          <t>Coincidencia descartada por homonimia acreditada, con constancia.</t>
        </is>
      </c>
      <c r="G717" s="264" t="inlineStr">
        <is>
          <t>Sin coincidencia, con constancia de la búsqueda y su fecha.</t>
        </is>
      </c>
      <c r="H717" s="444" t="inlineStr">
        <is>
          <t>campo</t>
        </is>
      </c>
    </row>
    <row r="718" ht="18.75" customHeight="1" s="225">
      <c r="A718" s="264">
        <f>B718&amp;"-"&amp;C718</f>
        <v/>
      </c>
      <c r="B718" s="442" t="inlineStr">
        <is>
          <t>XVI - Activos virtuales (PSAV): operación de intercambio/transferencia</t>
        </is>
      </c>
      <c r="C718" s="443" t="n">
        <v>13</v>
      </c>
      <c r="D718" s="264" t="inlineStr">
        <is>
          <t>Profundidad de la cadena de control</t>
        </is>
      </c>
      <c r="E718" s="264" t="inlineStr">
        <is>
          <t>No se logra identificar al Beneficiario Controlador de el usuario, o la cadena no es acreditable.</t>
        </is>
      </c>
      <c r="F718" s="264" t="inlineStr">
        <is>
          <t>El Beneficiario Controlador se identifica atravesando dos o más niveles societarios o fiduciarios.</t>
        </is>
      </c>
      <c r="G718" s="264" t="inlineStr">
        <is>
          <t>El Beneficiario Controlador se identifica en un solo nivel, o el usuario es su propio beneficiario.</t>
        </is>
      </c>
      <c r="H718" s="444" t="inlineStr">
        <is>
          <t>calculado</t>
        </is>
      </c>
    </row>
    <row r="719" ht="18.75" customHeight="1" s="225">
      <c r="A719" s="264">
        <f>B719&amp;"-"&amp;C719</f>
        <v/>
      </c>
      <c r="B719" s="442" t="inlineStr">
        <is>
          <t>XVI - Activos virtuales (PSAV): operación de intercambio/transferencia</t>
        </is>
      </c>
      <c r="C719" s="443" t="n">
        <v>14</v>
      </c>
      <c r="D719" s="264" t="inlineStr">
        <is>
          <t>País donde se realiza la operación</t>
        </is>
      </c>
      <c r="E719" s="264" t="inlineStr">
        <is>
          <t>La operación de intercambio o transferencia se pacta con o desde una jurisdicción de alto riesgo o no cooperante.</t>
        </is>
      </c>
      <c r="F719" s="264" t="inlineStr">
        <is>
          <t>La operación de intercambio o transferencia se pacta con una jurisdicción extranjera sin señalamiento.</t>
        </is>
      </c>
      <c r="G719" s="264" t="inlineStr">
        <is>
          <t>La operación de intercambio o transferencia se realiza íntegramente en México.</t>
        </is>
      </c>
      <c r="H719" s="444" t="inlineStr">
        <is>
          <t>campo</t>
        </is>
      </c>
    </row>
    <row r="720" ht="18.75" customHeight="1" s="225">
      <c r="A720" s="264">
        <f>B720&amp;"-"&amp;C720</f>
        <v/>
      </c>
      <c r="B720" s="442" t="inlineStr">
        <is>
          <t>XVI - Activos virtuales (PSAV): operación de intercambio/transferencia</t>
        </is>
      </c>
      <c r="C720" s="443" t="n">
        <v>15</v>
      </c>
      <c r="D720" s="264" t="inlineStr">
        <is>
          <t>Entidad o municipio de la operación</t>
        </is>
      </c>
      <c r="E720" s="264" t="inlineStr">
        <is>
          <t>La operación de intercambio o transferencia ocurre en un municipio o zona identificada de alto riesgo.</t>
        </is>
      </c>
      <c r="F720" s="264" t="inlineStr">
        <is>
          <t>La operación de intercambio o transferencia ocurre en una entidad federativa con señalamiento en la ENR.</t>
        </is>
      </c>
      <c r="G720" s="264" t="inlineStr">
        <is>
          <t>La operación de intercambio o transferencia ocurre en una entidad federativa sin señalamiento en la ENR.</t>
        </is>
      </c>
      <c r="H720" s="444" t="inlineStr">
        <is>
          <t>campo</t>
        </is>
      </c>
    </row>
    <row r="721" ht="18.75" customHeight="1" s="225">
      <c r="A721" s="264">
        <f>B721&amp;"-"&amp;C721</f>
        <v/>
      </c>
      <c r="B721" s="442" t="inlineStr">
        <is>
          <t>XVI - Activos virtuales (PSAV): operación de intercambio/transferencia</t>
        </is>
      </c>
      <c r="C721" s="443" t="n">
        <v>16</v>
      </c>
      <c r="D721" s="264" t="inlineStr">
        <is>
          <t>Vínculo con jurisdicción sancionada o de acción requerida</t>
        </is>
      </c>
      <c r="E721" s="264" t="inlineStr">
        <is>
          <t>Hay exposición directa a una jurisdicción sancionada, en conflicto armado o de acción requerida del GAFI.</t>
        </is>
      </c>
      <c r="F721" s="264" t="inlineStr">
        <is>
          <t>La exposición es indirecta: una contraparte o la ruta de los fondos toca esa jurisdicción.</t>
        </is>
      </c>
      <c r="G721" s="264" t="inlineStr">
        <is>
          <t>Sin exposición a jurisdicciones sancionadas, en conflicto ni de acción requerida.</t>
        </is>
      </c>
      <c r="H721" s="444" t="inlineStr">
        <is>
          <t>campo</t>
        </is>
      </c>
    </row>
    <row r="722" ht="18.75" customHeight="1" s="225">
      <c r="A722" s="264">
        <f>B722&amp;"-"&amp;C722</f>
        <v/>
      </c>
      <c r="B722" s="442" t="inlineStr">
        <is>
          <t>XVI - Activos virtuales (PSAV): operación de intercambio/transferencia</t>
        </is>
      </c>
      <c r="C722" s="443" t="n">
        <v>17</v>
      </c>
      <c r="D722" s="264" t="inlineStr">
        <is>
          <t>Coincidencia entre domicilio y lugar de la operación</t>
        </is>
      </c>
      <c r="E722" s="264" t="inlineStr">
        <is>
          <t>El domicilio de el usuario y el lugar de la operación de intercambio o transferencia no coinciden, y no hay explicación documentada.</t>
        </is>
      </c>
      <c r="F722" s="264" t="inlineStr">
        <is>
          <t>No coinciden, pero consta por escrito la razón de operar en ese lugar.</t>
        </is>
      </c>
      <c r="G722" s="264" t="inlineStr">
        <is>
          <t>El domicilio de el usuario y el lugar de la operación de intercambio o transferencia coinciden.</t>
        </is>
      </c>
      <c r="H722" s="444" t="inlineStr">
        <is>
          <t>calculado</t>
        </is>
      </c>
    </row>
    <row r="723" ht="18.75" customHeight="1" s="225">
      <c r="A723" s="264">
        <f>B723&amp;"-"&amp;C723</f>
        <v/>
      </c>
      <c r="B723" s="442" t="inlineStr">
        <is>
          <t>XVI - Activos virtuales (PSAV): operación de intercambio/transferencia</t>
        </is>
      </c>
      <c r="C723" s="443" t="n">
        <v>18</v>
      </c>
      <c r="D723" s="264" t="inlineStr">
        <is>
          <t>Instrumento con que se paga</t>
        </is>
      </c>
      <c r="E723" s="264" t="inlineStr">
        <is>
          <t>Efectivo por encima de tu umbral interno, instrumento al portador, o pago en especie.</t>
        </is>
      </c>
      <c r="F723" s="264" t="inlineStr">
        <is>
          <t>Pago mixto, con un componente en efectivo por debajo de tu umbral interno.</t>
        </is>
      </c>
      <c r="G723" s="264" t="inlineStr">
        <is>
          <t>Transferencia electrónica o cheque nominativo desde una cuenta a nombre de el usuario.</t>
        </is>
      </c>
      <c r="H723" s="444" t="inlineStr">
        <is>
          <t>campo</t>
        </is>
      </c>
    </row>
    <row r="724" ht="18.75" customHeight="1" s="225">
      <c r="A724" s="264">
        <f>B724&amp;"-"&amp;C724</f>
        <v/>
      </c>
      <c r="B724" s="442" t="inlineStr">
        <is>
          <t>XVI - Activos virtuales (PSAV): operación de intercambio/transferencia</t>
        </is>
      </c>
      <c r="C724" s="443" t="n">
        <v>19</v>
      </c>
      <c r="D724" s="264" t="inlineStr">
        <is>
          <t>Moneda de la operación</t>
        </is>
      </c>
      <c r="E724" s="264" t="inlineStr">
        <is>
          <t>Divisa distinta del dólar estadounidense y del euro, o activo virtual.</t>
        </is>
      </c>
      <c r="F724" s="264" t="inlineStr">
        <is>
          <t>Dólar estadounidense o euro, con soporte documental.</t>
        </is>
      </c>
      <c r="G724" s="264" t="inlineStr">
        <is>
          <t>Peso mexicano.</t>
        </is>
      </c>
      <c r="H724" s="444" t="inlineStr">
        <is>
          <t>campo</t>
        </is>
      </c>
    </row>
    <row r="725" ht="18.75" customHeight="1" s="225">
      <c r="A725" s="264">
        <f>B725&amp;"-"&amp;C725</f>
        <v/>
      </c>
      <c r="B725" s="442" t="inlineStr">
        <is>
          <t>XVI - Activos virtuales (PSAV): operación de intercambio/transferencia</t>
        </is>
      </c>
      <c r="C725" s="443" t="n">
        <v>20</v>
      </c>
      <c r="D725" s="264" t="inlineStr">
        <is>
          <t>Monto frente al umbral de tu fracción</t>
        </is>
      </c>
      <c r="E725" s="264" t="inlineStr">
        <is>
          <t>La operación de intercambio o transferencia iguala o supera el umbral de Aviso de tu fracción del artículo 17.</t>
        </is>
      </c>
      <c r="F725" s="264" t="inlineStr">
        <is>
          <t>La operación de intercambio o transferencia se sitúa entre el umbral de identificación y el de Aviso.</t>
        </is>
      </c>
      <c r="G725" s="264" t="inlineStr">
        <is>
          <t>La operación de intercambio o transferencia queda por debajo del umbral de identificación.</t>
        </is>
      </c>
      <c r="H725" s="444" t="inlineStr">
        <is>
          <t>calculado</t>
        </is>
      </c>
    </row>
    <row r="726" ht="18.75" customHeight="1" s="225">
      <c r="A726" s="264">
        <f>B726&amp;"-"&amp;C726</f>
        <v/>
      </c>
      <c r="B726" s="442" t="inlineStr">
        <is>
          <t>XVI - Activos virtuales (PSAV): operación de intercambio/transferencia</t>
        </is>
      </c>
      <c r="C726" s="443" t="n">
        <v>21</v>
      </c>
      <c r="D726" s="264" t="inlineStr">
        <is>
          <t>Número y ritmo de operaciones en el periodo</t>
        </is>
      </c>
      <c r="E726" s="264" t="inlineStr">
        <is>
          <t>El usuario realiza cinco o más operaciones al año, o varias en intervalos cortos y regulares.</t>
        </is>
      </c>
      <c r="F726" s="264" t="inlineStr">
        <is>
          <t>El usuario realiza entre dos y cuatro operaciones al año.</t>
        </is>
      </c>
      <c r="G726" s="264" t="inlineStr">
        <is>
          <t>El usuario realiza una sola operación en el periodo.</t>
        </is>
      </c>
      <c r="H726" s="444" t="inlineStr">
        <is>
          <t>calculado</t>
        </is>
      </c>
    </row>
    <row r="727" ht="18.75" customHeight="1" s="225">
      <c r="A727" s="264">
        <f>B727&amp;"-"&amp;C727</f>
        <v/>
      </c>
      <c r="B727" s="442" t="inlineStr">
        <is>
          <t>XVI - Activos virtuales (PSAV): operación de intercambio/transferencia</t>
        </is>
      </c>
      <c r="C727" s="443" t="n">
        <v>22</v>
      </c>
      <c r="D727" s="264" t="inlineStr">
        <is>
          <t>Canal: certeza de identificación del Cliente</t>
        </is>
      </c>
      <c r="E727" s="264" t="inlineStr">
        <is>
          <t>La operación llega por un gestor, plataforma o intermediario no acreditado: nadie responde por la identificación de el usuario, y quien opera puede no ser quien dice ser.</t>
        </is>
      </c>
      <c r="F727" s="264" t="inlineStr">
        <is>
          <t>Se identifica a el usuario de forma remota con verificación documental, o a través de un promotor o representante propio con contrato y responsable señalado.</t>
        </is>
      </c>
      <c r="G727" s="264" t="inlineStr">
        <is>
          <t>El usuario comparece de forma directa, o se le identifica en remoto con biometría y prueba de vida.</t>
        </is>
      </c>
      <c r="H727" s="444" t="inlineStr">
        <is>
          <t>campo</t>
        </is>
      </c>
    </row>
    <row r="728" ht="18.75" customHeight="1" s="225">
      <c r="A728" s="264">
        <f>B728&amp;"-"&amp;C728</f>
        <v/>
      </c>
      <c r="B728" s="442" t="inlineStr">
        <is>
          <t>XVI - Activos virtuales (PSAV): operación de intercambio/transferencia</t>
        </is>
      </c>
      <c r="C728" s="443" t="n">
        <v>23</v>
      </c>
      <c r="D728" s="264" t="inlineStr">
        <is>
          <t>Acreditación del origen de los recursos</t>
        </is>
      </c>
      <c r="E728" s="264" t="inlineStr">
        <is>
          <t>El origen de los recursos se declara sin soporte documental, o no se manifiesta.</t>
        </is>
      </c>
      <c r="F728" s="264" t="inlineStr">
        <is>
          <t>El origen se declara y se acredita sólo de forma parcial.</t>
        </is>
      </c>
      <c r="G728" s="264" t="inlineStr">
        <is>
          <t>El origen se acredita con documentación verificable.</t>
        </is>
      </c>
      <c r="H728" s="444" t="inlineStr">
        <is>
          <t>bandera</t>
        </is>
      </c>
    </row>
    <row r="729" ht="18.75" customHeight="1" s="225">
      <c r="A729" s="264">
        <f>B729&amp;"-"&amp;C729</f>
        <v/>
      </c>
      <c r="B729" s="442" t="inlineStr">
        <is>
          <t>XVI - Activos virtuales (PSAV): operación de intercambio/transferencia</t>
        </is>
      </c>
      <c r="C729" s="443" t="n">
        <v>24</v>
      </c>
      <c r="D729" s="264" t="inlineStr">
        <is>
          <t>Acreditación del destino de los recursos o del bien</t>
        </is>
      </c>
      <c r="E729" s="264" t="inlineStr">
        <is>
          <t>El destino no se manifiesta, o los recursos o el activo virtual pasan a un tercero no relacionado con el usuario.</t>
        </is>
      </c>
      <c r="F729" s="264" t="inlineStr">
        <is>
          <t>El destino se declara y es verificable.</t>
        </is>
      </c>
      <c r="G729" s="264" t="inlineStr">
        <is>
          <t>El destino es el activo virtual mismo, y queda registrado en la operación.</t>
        </is>
      </c>
      <c r="H729" s="444" t="inlineStr">
        <is>
          <t>bandera</t>
        </is>
      </c>
    </row>
    <row r="730" ht="18.75" customHeight="1" s="225">
      <c r="A730" s="264">
        <f>B730&amp;"-"&amp;C730</f>
        <v/>
      </c>
      <c r="B730" s="442" t="inlineStr">
        <is>
          <t>XVI - Activos virtuales (PSAV): operación de intercambio/transferencia</t>
        </is>
      </c>
      <c r="C730" s="443" t="n">
        <v>25</v>
      </c>
      <c r="D730" s="264" t="inlineStr">
        <is>
          <t>Combinación de canal e instrumento idónea para el financiamiento al terrorismo</t>
        </is>
      </c>
      <c r="E730" s="264" t="inlineStr">
        <is>
          <t>La operación de intercambio o transferencia combina contratación a distancia sin verificación reforzada con pagos en efectivo o instrumentos al portador.</t>
        </is>
      </c>
      <c r="F730" s="264" t="inlineStr">
        <is>
          <t>Concurre uno solo de los dos: o la contratación remota sin verificación reforzada, o el pago en instrumento no bancarizado.</t>
        </is>
      </c>
      <c r="G730" s="264" t="inlineStr">
        <is>
          <t>Ni la forma de contratar ni la de pagar permiten mover valor de forma anónima.</t>
        </is>
      </c>
      <c r="H730" s="444" t="inlineStr">
        <is>
          <t>bandera</t>
        </is>
      </c>
    </row>
    <row r="731" ht="18.75" customHeight="1" s="225">
      <c r="A731" s="264">
        <f>B731&amp;"-"&amp;C731</f>
        <v/>
      </c>
      <c r="B731" s="442" t="inlineStr">
        <is>
          <t>XVI - Activos virtuales (PSAV): cobro de contraprestación (comisión) por el servicio</t>
        </is>
      </c>
      <c r="C731" s="443" t="n">
        <v>1</v>
      </c>
      <c r="D731" s="264" t="inlineStr">
        <is>
          <t>Valor unitario de la operación</t>
        </is>
      </c>
      <c r="E731" s="264" t="inlineStr">
        <is>
          <t>El servicio prestado tiene un valor unitario muy por encima del ticket promedio de tu operación de doce meses.</t>
        </is>
      </c>
      <c r="F731" s="264" t="inlineStr">
        <is>
          <t>El servicio prestado tiene un valor unitario dentro del rango habitual de tu operación.</t>
        </is>
      </c>
      <c r="G731" s="264" t="inlineStr">
        <is>
          <t>El servicio prestado tiene un valor unitario por debajo de tu ticket promedio.</t>
        </is>
      </c>
      <c r="H731" s="444" t="inlineStr">
        <is>
          <t>calculado</t>
        </is>
      </c>
    </row>
    <row r="732" ht="18.75" customHeight="1" s="225">
      <c r="A732" s="264">
        <f>B732&amp;"-"&amp;C732</f>
        <v/>
      </c>
      <c r="B732" s="442" t="inlineStr">
        <is>
          <t>XVI - Activos virtuales (PSAV): cobro de contraprestación (comisión) por el servicio</t>
        </is>
      </c>
      <c r="C732" s="443" t="n">
        <v>2</v>
      </c>
      <c r="D732" s="264" t="inlineStr">
        <is>
          <t>Liquidez: facilidad de convertir en dinero</t>
        </is>
      </c>
      <c r="E732" s="264" t="inlineStr">
        <is>
          <t>El servicio prestado puede revenderse o cederse de inmediato y prácticamente a su valor íntegro.</t>
        </is>
      </c>
      <c r="F732" s="264" t="inlineStr">
        <is>
          <t>El servicio prestado puede revenderse, pero con trámite, plazo o pérdida de valor apreciable.</t>
        </is>
      </c>
      <c r="G732" s="264" t="inlineStr">
        <is>
          <t>El servicio prestado es difícil de revender: exige formalidades o registro, o pierde valor de forma significativa.</t>
        </is>
      </c>
      <c r="H732" s="444" t="inlineStr">
        <is>
          <t>bandera</t>
        </is>
      </c>
    </row>
    <row r="733" ht="18.75" customHeight="1" s="225">
      <c r="A733" s="264">
        <f>B733&amp;"-"&amp;C733</f>
        <v/>
      </c>
      <c r="B733" s="442" t="inlineStr">
        <is>
          <t>XVI - Activos virtuales (PSAV): cobro de contraprestación (comisión) por el servicio</t>
        </is>
      </c>
      <c r="C733" s="443" t="n">
        <v>3</v>
      </c>
      <c r="D733" s="264" t="inlineStr">
        <is>
          <t>Anonimato: si el beneficiario queda a la vista</t>
        </is>
      </c>
      <c r="E733" s="264" t="inlineStr">
        <is>
          <t>El cobro de la contraprestación admite que quien aparece no sea quien recibe el beneficio, sin que quede registro de quién es el beneficiario final.</t>
        </is>
      </c>
      <c r="F733" s="264" t="inlineStr">
        <is>
          <t>Se identifica a el usuario, pero el beneficiario final se declara sin documento que lo respalde.</t>
        </is>
      </c>
      <c r="G733" s="264" t="inlineStr">
        <is>
          <t>El usuario y el beneficiario final coinciden, y ambos constan en el expediente.</t>
        </is>
      </c>
      <c r="H733" s="444" t="inlineStr">
        <is>
          <t>bandera</t>
        </is>
      </c>
    </row>
    <row r="734" ht="18.75" customHeight="1" s="225">
      <c r="A734" s="264">
        <f>B734&amp;"-"&amp;C734</f>
        <v/>
      </c>
      <c r="B734" s="442" t="inlineStr">
        <is>
          <t>XVI - Activos virtuales (PSAV): cobro de contraprestación (comisión) por el servicio</t>
        </is>
      </c>
      <c r="C734" s="443" t="n">
        <v>4</v>
      </c>
      <c r="D734" s="264" t="inlineStr">
        <is>
          <t>Ocultamiento de valor en el precio</t>
        </is>
      </c>
      <c r="E734" s="264" t="inlineStr">
        <is>
          <t>El cobro de la contraprestación admite sobrevaluar, subvaluar o fraccionar el precio sin que la contabilidad lo refleje.</t>
        </is>
      </c>
      <c r="F734" s="264" t="inlineStr">
        <is>
          <t>El precio se aparta del valor de referencia, pero existe explicación documentada de la diferencia.</t>
        </is>
      </c>
      <c r="G734" s="264" t="inlineStr">
        <is>
          <t>El precio corresponde al valor de referencia y queda registrado en la contabilidad.</t>
        </is>
      </c>
      <c r="H734" s="444" t="inlineStr">
        <is>
          <t>bandera</t>
        </is>
      </c>
    </row>
    <row r="735" ht="18.75" customHeight="1" s="225">
      <c r="A735" s="264">
        <f>B735&amp;"-"&amp;C735</f>
        <v/>
      </c>
      <c r="B735" s="442" t="inlineStr">
        <is>
          <t>XVI - Activos virtuales (PSAV): cobro de contraprestación (comisión) por el servicio</t>
        </is>
      </c>
      <c r="C735" s="443" t="n">
        <v>5</v>
      </c>
      <c r="D735" s="264" t="inlineStr">
        <is>
          <t>Exposición a personas señaladas por terrorismo</t>
        </is>
      </c>
      <c r="E735" s="264" t="inlineStr">
        <is>
          <t>El usuario, su beneficiario o su contraparte aparece en listas de sanciones o de organizaciones terroristas.</t>
        </is>
      </c>
      <c r="F735" s="264" t="inlineStr">
        <is>
          <t>Existe un vínculo indirecto —contraparte, domicilio o ruta de los fondos— con una jurisdicción en conflicto o de acción requerida.</t>
        </is>
      </c>
      <c r="G735" s="264" t="inlineStr">
        <is>
          <t>Sin coincidencias ni vínculos con esas listas ni con jurisdicciones en conflicto, con búsqueda documentada.</t>
        </is>
      </c>
      <c r="H735" s="444" t="inlineStr">
        <is>
          <t>campo</t>
        </is>
      </c>
    </row>
    <row r="736" ht="18.75" customHeight="1" s="225">
      <c r="A736" s="264">
        <f>B736&amp;"-"&amp;C736</f>
        <v/>
      </c>
      <c r="B736" s="442" t="inlineStr">
        <is>
          <t>XVI - Activos virtuales (PSAV): cobro de contraprestación (comisión) por el servicio</t>
        </is>
      </c>
      <c r="C736" s="443" t="n">
        <v>6</v>
      </c>
      <c r="D736" s="264" t="inlineStr">
        <is>
          <t>Tipo de persona</t>
        </is>
      </c>
      <c r="E736" s="264" t="inlineStr">
        <is>
          <t>El usuario del servicio es un fideicomiso u otro vehículo sin personalidad jurídica propia. No hay un titular único: la figura permite que quien paga la comisión y quien recibe el servicio sean personas distintas y que ninguna aparezca en el contrato.</t>
        </is>
      </c>
      <c r="F736" s="264" t="inlineStr">
        <is>
          <t>El usuario del servicio es persona moral. La voluntad se forma en órganos y la propiedad está en socios, así que hay que llegar al Beneficiario Controlador para saber quién está realmente detrás.</t>
        </is>
      </c>
      <c r="G736" s="264" t="inlineStr">
        <is>
          <t>El usuario del servicio es persona física. Coincide quien paga la comisión y quien recibe el servicio, y la identificación es directa contra un solo expediente.</t>
        </is>
      </c>
      <c r="H736" s="444" t="inlineStr">
        <is>
          <t>campo</t>
        </is>
      </c>
    </row>
    <row r="737" ht="18.75" customHeight="1" s="225">
      <c r="A737" s="264">
        <f>B737&amp;"-"&amp;C737</f>
        <v/>
      </c>
      <c r="B737" s="442" t="inlineStr">
        <is>
          <t>XVI - Activos virtuales (PSAV): cobro de contraprestación (comisión) por el servicio</t>
        </is>
      </c>
      <c r="C737" s="443" t="n">
        <v>7</v>
      </c>
      <c r="D737" s="264" t="inlineStr">
        <is>
          <t>Antigüedad del Cliente</t>
        </is>
      </c>
      <c r="E737" s="264" t="inlineStr">
        <is>
          <t>Persona moral constituida hace menos de dos años, o persona física menor de veintitrés años.</t>
        </is>
      </c>
      <c r="F737" s="264" t="inlineStr">
        <is>
          <t>Persona moral constituida hace entre dos y cinco años.</t>
        </is>
      </c>
      <c r="G737" s="264" t="inlineStr">
        <is>
          <t>Persona moral con más de cinco años de constituida, o persona física de veintitrés años en adelante.</t>
        </is>
      </c>
      <c r="H737" s="444" t="inlineStr">
        <is>
          <t>campo</t>
        </is>
      </c>
    </row>
    <row r="738" ht="18.75" customHeight="1" s="225">
      <c r="A738" s="264">
        <f>B738&amp;"-"&amp;C738</f>
        <v/>
      </c>
      <c r="B738" s="442" t="inlineStr">
        <is>
          <t>XVI - Activos virtuales (PSAV): cobro de contraprestación (comisión) por el servicio</t>
        </is>
      </c>
      <c r="C738" s="443" t="n">
        <v>8</v>
      </c>
      <c r="D738" s="264" t="inlineStr">
        <is>
          <t>Giro o actividad declarada</t>
        </is>
      </c>
      <c r="E738" s="264" t="inlineStr">
        <is>
          <t>El giro que declara el usuario es a su vez una Actividad Vulnerable del artículo 17, o no se acredita con documento alguno.</t>
        </is>
      </c>
      <c r="F738" s="264" t="inlineStr">
        <is>
          <t>El giro se declara y se acredita sólo de forma parcial.</t>
        </is>
      </c>
      <c r="G738" s="264" t="inlineStr">
        <is>
          <t>El giro se acredita con documento: constancia de situación fiscal, acta constitutiva o comprobante de empleo.</t>
        </is>
      </c>
      <c r="H738" s="444" t="inlineStr">
        <is>
          <t>campo</t>
        </is>
      </c>
    </row>
    <row r="739" ht="18.75" customHeight="1" s="225">
      <c r="A739" s="264">
        <f>B739&amp;"-"&amp;C739</f>
        <v/>
      </c>
      <c r="B739" s="442" t="inlineStr">
        <is>
          <t>XVI - Activos virtuales (PSAV): cobro de contraprestación (comisión) por el servicio</t>
        </is>
      </c>
      <c r="C739" s="443" t="n">
        <v>9</v>
      </c>
      <c r="D739" s="264" t="inlineStr">
        <is>
          <t>Nacionalidad</t>
        </is>
      </c>
      <c r="E739" s="264" t="inlineStr">
        <is>
          <t>Nacionalidad de país o jurisdicción señalada por la UIF, o no determinada.</t>
        </is>
      </c>
      <c r="F739" s="264" t="inlineStr">
        <is>
          <t>Nacionalidad extranjera de país sin señalamiento.</t>
        </is>
      </c>
      <c r="G739" s="264" t="inlineStr">
        <is>
          <t>Nacionalidad mexicana.</t>
        </is>
      </c>
      <c r="H739" s="444" t="inlineStr">
        <is>
          <t>campo</t>
        </is>
      </c>
    </row>
    <row r="740" ht="18.75" customHeight="1" s="225">
      <c r="A740" s="264">
        <f>B740&amp;"-"&amp;C740</f>
        <v/>
      </c>
      <c r="B740" s="442" t="inlineStr">
        <is>
          <t>XVI - Activos virtuales (PSAV): cobro de contraprestación (comisión) por el servicio</t>
        </is>
      </c>
      <c r="C740" s="443" t="n">
        <v>10</v>
      </c>
      <c r="D740" s="264" t="inlineStr">
        <is>
          <t>País y entidad de residencia</t>
        </is>
      </c>
      <c r="E740" s="264" t="inlineStr">
        <is>
          <t>Residencia en jurisdicción de régimen fiscal preferente o señalada por deficiencias, o domicilio no verificable.</t>
        </is>
      </c>
      <c r="F740" s="264" t="inlineStr">
        <is>
          <t>Residencia en el extranjero sin señalamiento, o en entidad federativa señalada en la ENR.</t>
        </is>
      </c>
      <c r="G740" s="264" t="inlineStr">
        <is>
          <t>Residencia en México, en entidad federativa sin señalamiento en la ENR.</t>
        </is>
      </c>
      <c r="H740" s="444" t="inlineStr">
        <is>
          <t>campo</t>
        </is>
      </c>
    </row>
    <row r="741" ht="18.75" customHeight="1" s="225">
      <c r="A741" s="264">
        <f>B741&amp;"-"&amp;C741</f>
        <v/>
      </c>
      <c r="B741" s="442" t="inlineStr">
        <is>
          <t>XVI - Activos virtuales (PSAV): cobro de contraprestación (comisión) por el servicio</t>
        </is>
      </c>
      <c r="C741" s="443" t="n">
        <v>11</v>
      </c>
      <c r="D741" s="264" t="inlineStr">
        <is>
          <t>Condición de Persona Políticamente Expuesta</t>
        </is>
      </c>
      <c r="E741" s="264" t="inlineStr">
        <is>
          <t>Persona Políticamente Expuesta extranjera, o nacional cuyo comportamiento transaccional no corresponde con sus ingresos y funciones.</t>
        </is>
      </c>
      <c r="F741" s="264" t="inlineStr">
        <is>
          <t>Persona Políticamente Expuesta nacional con comportamiento congruente, o familiar o allegado de una.</t>
        </is>
      </c>
      <c r="G741" s="264" t="inlineStr">
        <is>
          <t>Sin condición de Persona Políticamente Expuesta, con búsqueda documentada.</t>
        </is>
      </c>
      <c r="H741" s="444" t="inlineStr">
        <is>
          <t>campo</t>
        </is>
      </c>
    </row>
    <row r="742" ht="18.75" customHeight="1" s="225">
      <c r="A742" s="264">
        <f>B742&amp;"-"&amp;C742</f>
        <v/>
      </c>
      <c r="B742" s="442" t="inlineStr">
        <is>
          <t>XVI - Activos virtuales (PSAV): cobro de contraprestación (comisión) por el servicio</t>
        </is>
      </c>
      <c r="C742" s="443" t="n">
        <v>12</v>
      </c>
      <c r="D742" s="264" t="inlineStr">
        <is>
          <t>Resultado de la búsqueda en listas</t>
        </is>
      </c>
      <c r="E742" s="264" t="inlineStr">
        <is>
          <t>Coincidencia positiva en listas de personas bloqueadas o de sanciones, o búsqueda no realizada o sin constancia.</t>
        </is>
      </c>
      <c r="F742" s="264" t="inlineStr">
        <is>
          <t>Coincidencia descartada por homonimia acreditada, con constancia.</t>
        </is>
      </c>
      <c r="G742" s="264" t="inlineStr">
        <is>
          <t>Sin coincidencia, con constancia de la búsqueda y su fecha.</t>
        </is>
      </c>
      <c r="H742" s="444" t="inlineStr">
        <is>
          <t>campo</t>
        </is>
      </c>
    </row>
    <row r="743" ht="18.75" customHeight="1" s="225">
      <c r="A743" s="264">
        <f>B743&amp;"-"&amp;C743</f>
        <v/>
      </c>
      <c r="B743" s="442" t="inlineStr">
        <is>
          <t>XVI - Activos virtuales (PSAV): cobro de contraprestación (comisión) por el servicio</t>
        </is>
      </c>
      <c r="C743" s="443" t="n">
        <v>13</v>
      </c>
      <c r="D743" s="264" t="inlineStr">
        <is>
          <t>Profundidad de la cadena de control</t>
        </is>
      </c>
      <c r="E743" s="264" t="inlineStr">
        <is>
          <t>No se logra identificar al Beneficiario Controlador de el usuario, o la cadena no es acreditable.</t>
        </is>
      </c>
      <c r="F743" s="264" t="inlineStr">
        <is>
          <t>El Beneficiario Controlador se identifica atravesando dos o más niveles societarios o fiduciarios.</t>
        </is>
      </c>
      <c r="G743" s="264" t="inlineStr">
        <is>
          <t>El Beneficiario Controlador se identifica en un solo nivel, o el usuario es su propio beneficiario.</t>
        </is>
      </c>
      <c r="H743" s="444" t="inlineStr">
        <is>
          <t>calculado</t>
        </is>
      </c>
    </row>
    <row r="744" ht="18.75" customHeight="1" s="225">
      <c r="A744" s="264">
        <f>B744&amp;"-"&amp;C744</f>
        <v/>
      </c>
      <c r="B744" s="442" t="inlineStr">
        <is>
          <t>XVI - Activos virtuales (PSAV): cobro de contraprestación (comisión) por el servicio</t>
        </is>
      </c>
      <c r="C744" s="443" t="n">
        <v>14</v>
      </c>
      <c r="D744" s="264" t="inlineStr">
        <is>
          <t>País donde se realiza la operación</t>
        </is>
      </c>
      <c r="E744" s="264" t="inlineStr">
        <is>
          <t>El cobro de la contraprestación se pacta con o desde una jurisdicción de alto riesgo o no cooperante.</t>
        </is>
      </c>
      <c r="F744" s="264" t="inlineStr">
        <is>
          <t>El cobro de la contraprestación se pacta con una jurisdicción extranjera sin señalamiento.</t>
        </is>
      </c>
      <c r="G744" s="264" t="inlineStr">
        <is>
          <t>El cobro de la contraprestación se realiza íntegramente en México.</t>
        </is>
      </c>
      <c r="H744" s="444" t="inlineStr">
        <is>
          <t>campo</t>
        </is>
      </c>
    </row>
    <row r="745" ht="18.75" customHeight="1" s="225">
      <c r="A745" s="264">
        <f>B745&amp;"-"&amp;C745</f>
        <v/>
      </c>
      <c r="B745" s="442" t="inlineStr">
        <is>
          <t>XVI - Activos virtuales (PSAV): cobro de contraprestación (comisión) por el servicio</t>
        </is>
      </c>
      <c r="C745" s="443" t="n">
        <v>15</v>
      </c>
      <c r="D745" s="264" t="inlineStr">
        <is>
          <t>Entidad o municipio de la operación</t>
        </is>
      </c>
      <c r="E745" s="264" t="inlineStr">
        <is>
          <t>El cobro de la contraprestación ocurre en un municipio o zona identificada de alto riesgo.</t>
        </is>
      </c>
      <c r="F745" s="264" t="inlineStr">
        <is>
          <t>El cobro de la contraprestación ocurre en una entidad federativa con señalamiento en la ENR.</t>
        </is>
      </c>
      <c r="G745" s="264" t="inlineStr">
        <is>
          <t>El cobro de la contraprestación ocurre en una entidad federativa sin señalamiento en la ENR.</t>
        </is>
      </c>
      <c r="H745" s="444" t="inlineStr">
        <is>
          <t>campo</t>
        </is>
      </c>
    </row>
    <row r="746" ht="18.75" customHeight="1" s="225">
      <c r="A746" s="264">
        <f>B746&amp;"-"&amp;C746</f>
        <v/>
      </c>
      <c r="B746" s="442" t="inlineStr">
        <is>
          <t>XVI - Activos virtuales (PSAV): cobro de contraprestación (comisión) por el servicio</t>
        </is>
      </c>
      <c r="C746" s="443" t="n">
        <v>16</v>
      </c>
      <c r="D746" s="264" t="inlineStr">
        <is>
          <t>Vínculo con jurisdicción sancionada o de acción requerida</t>
        </is>
      </c>
      <c r="E746" s="264" t="inlineStr">
        <is>
          <t>Hay exposición directa a una jurisdicción sancionada, en conflicto armado o de acción requerida del GAFI.</t>
        </is>
      </c>
      <c r="F746" s="264" t="inlineStr">
        <is>
          <t>La exposición es indirecta: una contraparte o la ruta de los fondos toca esa jurisdicción.</t>
        </is>
      </c>
      <c r="G746" s="264" t="inlineStr">
        <is>
          <t>Sin exposición a jurisdicciones sancionadas, en conflicto ni de acción requerida.</t>
        </is>
      </c>
      <c r="H746" s="444" t="inlineStr">
        <is>
          <t>campo</t>
        </is>
      </c>
    </row>
    <row r="747" ht="18.75" customHeight="1" s="225">
      <c r="A747" s="264">
        <f>B747&amp;"-"&amp;C747</f>
        <v/>
      </c>
      <c r="B747" s="442" t="inlineStr">
        <is>
          <t>XVI - Activos virtuales (PSAV): cobro de contraprestación (comisión) por el servicio</t>
        </is>
      </c>
      <c r="C747" s="443" t="n">
        <v>17</v>
      </c>
      <c r="D747" s="264" t="inlineStr">
        <is>
          <t>Coincidencia entre domicilio y lugar de la operación</t>
        </is>
      </c>
      <c r="E747" s="264" t="inlineStr">
        <is>
          <t>El domicilio de el usuario y el lugar de el cobro de la contraprestación no coinciden, y no hay explicación documentada.</t>
        </is>
      </c>
      <c r="F747" s="264" t="inlineStr">
        <is>
          <t>No coinciden, pero consta por escrito la razón de operar en ese lugar.</t>
        </is>
      </c>
      <c r="G747" s="264" t="inlineStr">
        <is>
          <t>El domicilio de el usuario y el lugar de el cobro de la contraprestación coinciden.</t>
        </is>
      </c>
      <c r="H747" s="444" t="inlineStr">
        <is>
          <t>calculado</t>
        </is>
      </c>
    </row>
    <row r="748" ht="18.75" customHeight="1" s="225">
      <c r="A748" s="264">
        <f>B748&amp;"-"&amp;C748</f>
        <v/>
      </c>
      <c r="B748" s="442" t="inlineStr">
        <is>
          <t>XVI - Activos virtuales (PSAV): cobro de contraprestación (comisión) por el servicio</t>
        </is>
      </c>
      <c r="C748" s="443" t="n">
        <v>18</v>
      </c>
      <c r="D748" s="264" t="inlineStr">
        <is>
          <t>Instrumento con que se paga</t>
        </is>
      </c>
      <c r="E748" s="264" t="inlineStr">
        <is>
          <t>Efectivo por encima de tu umbral interno, instrumento al portador, o pago en especie.</t>
        </is>
      </c>
      <c r="F748" s="264" t="inlineStr">
        <is>
          <t>Pago mixto, con un componente en efectivo por debajo de tu umbral interno.</t>
        </is>
      </c>
      <c r="G748" s="264" t="inlineStr">
        <is>
          <t>Transferencia electrónica o cheque nominativo desde una cuenta a nombre de el usuario.</t>
        </is>
      </c>
      <c r="H748" s="444" t="inlineStr">
        <is>
          <t>campo</t>
        </is>
      </c>
    </row>
    <row r="749" ht="18.75" customHeight="1" s="225">
      <c r="A749" s="264">
        <f>B749&amp;"-"&amp;C749</f>
        <v/>
      </c>
      <c r="B749" s="442" t="inlineStr">
        <is>
          <t>XVI - Activos virtuales (PSAV): cobro de contraprestación (comisión) por el servicio</t>
        </is>
      </c>
      <c r="C749" s="443" t="n">
        <v>19</v>
      </c>
      <c r="D749" s="264" t="inlineStr">
        <is>
          <t>Moneda de la operación</t>
        </is>
      </c>
      <c r="E749" s="264" t="inlineStr">
        <is>
          <t>Divisa distinta del dólar estadounidense y del euro, o activo virtual.</t>
        </is>
      </c>
      <c r="F749" s="264" t="inlineStr">
        <is>
          <t>Dólar estadounidense o euro, con soporte documental.</t>
        </is>
      </c>
      <c r="G749" s="264" t="inlineStr">
        <is>
          <t>Peso mexicano.</t>
        </is>
      </c>
      <c r="H749" s="444" t="inlineStr">
        <is>
          <t>campo</t>
        </is>
      </c>
    </row>
    <row r="750" ht="18.75" customHeight="1" s="225">
      <c r="A750" s="264">
        <f>B750&amp;"-"&amp;C750</f>
        <v/>
      </c>
      <c r="B750" s="442" t="inlineStr">
        <is>
          <t>XVI - Activos virtuales (PSAV): cobro de contraprestación (comisión) por el servicio</t>
        </is>
      </c>
      <c r="C750" s="443" t="n">
        <v>20</v>
      </c>
      <c r="D750" s="264" t="inlineStr">
        <is>
          <t>Monto frente al umbral de tu fracción</t>
        </is>
      </c>
      <c r="E750" s="264" t="inlineStr">
        <is>
          <t>El cobro de la contraprestación iguala o supera el umbral de Aviso de tu fracción del artículo 17.</t>
        </is>
      </c>
      <c r="F750" s="264" t="inlineStr">
        <is>
          <t>El cobro de la contraprestación se sitúa entre el umbral de identificación y el de Aviso.</t>
        </is>
      </c>
      <c r="G750" s="264" t="inlineStr">
        <is>
          <t>El cobro de la contraprestación queda por debajo del umbral de identificación.</t>
        </is>
      </c>
      <c r="H750" s="444" t="inlineStr">
        <is>
          <t>calculado</t>
        </is>
      </c>
    </row>
    <row r="751" ht="18.75" customHeight="1" s="225">
      <c r="A751" s="264">
        <f>B751&amp;"-"&amp;C751</f>
        <v/>
      </c>
      <c r="B751" s="442" t="inlineStr">
        <is>
          <t>XVI - Activos virtuales (PSAV): cobro de contraprestación (comisión) por el servicio</t>
        </is>
      </c>
      <c r="C751" s="443" t="n">
        <v>21</v>
      </c>
      <c r="D751" s="264" t="inlineStr">
        <is>
          <t>Número y ritmo de operaciones en el periodo</t>
        </is>
      </c>
      <c r="E751" s="264" t="inlineStr">
        <is>
          <t>El usuario realiza cinco o más operaciones al año, o varias en intervalos cortos y regulares.</t>
        </is>
      </c>
      <c r="F751" s="264" t="inlineStr">
        <is>
          <t>El usuario realiza entre dos y cuatro operaciones al año.</t>
        </is>
      </c>
      <c r="G751" s="264" t="inlineStr">
        <is>
          <t>El usuario realiza una sola operación en el periodo.</t>
        </is>
      </c>
      <c r="H751" s="444" t="inlineStr">
        <is>
          <t>calculado</t>
        </is>
      </c>
    </row>
    <row r="752" ht="18.75" customHeight="1" s="225">
      <c r="A752" s="264">
        <f>B752&amp;"-"&amp;C752</f>
        <v/>
      </c>
      <c r="B752" s="442" t="inlineStr">
        <is>
          <t>XVI - Activos virtuales (PSAV): cobro de contraprestación (comisión) por el servicio</t>
        </is>
      </c>
      <c r="C752" s="443" t="n">
        <v>22</v>
      </c>
      <c r="D752" s="264" t="inlineStr">
        <is>
          <t>Canal: certeza de identificación del Cliente</t>
        </is>
      </c>
      <c r="E752" s="264" t="inlineStr">
        <is>
          <t>La operación llega por un gestor, plataforma o intermediario no acreditado: nadie responde por la identificación de el usuario, y quien opera puede no ser quien dice ser.</t>
        </is>
      </c>
      <c r="F752" s="264" t="inlineStr">
        <is>
          <t>Se identifica a el usuario de forma remota con verificación documental, o a través de un promotor o representante propio con contrato y responsable señalado.</t>
        </is>
      </c>
      <c r="G752" s="264" t="inlineStr">
        <is>
          <t>El usuario comparece de forma directa, o se le identifica en remoto con biometría y prueba de vida.</t>
        </is>
      </c>
      <c r="H752" s="444" t="inlineStr">
        <is>
          <t>campo</t>
        </is>
      </c>
    </row>
    <row r="753" ht="18.75" customHeight="1" s="225">
      <c r="A753" s="264">
        <f>B753&amp;"-"&amp;C753</f>
        <v/>
      </c>
      <c r="B753" s="442" t="inlineStr">
        <is>
          <t>XVI - Activos virtuales (PSAV): cobro de contraprestación (comisión) por el servicio</t>
        </is>
      </c>
      <c r="C753" s="443" t="n">
        <v>23</v>
      </c>
      <c r="D753" s="264" t="inlineStr">
        <is>
          <t>Acreditación del origen de los recursos</t>
        </is>
      </c>
      <c r="E753" s="264" t="inlineStr">
        <is>
          <t>El origen de los recursos se declara sin soporte documental, o no se manifiesta.</t>
        </is>
      </c>
      <c r="F753" s="264" t="inlineStr">
        <is>
          <t>El origen se declara y se acredita sólo de forma parcial.</t>
        </is>
      </c>
      <c r="G753" s="264" t="inlineStr">
        <is>
          <t>El origen se acredita con documentación verificable.</t>
        </is>
      </c>
      <c r="H753" s="444" t="inlineStr">
        <is>
          <t>bandera</t>
        </is>
      </c>
    </row>
    <row r="754" ht="18.75" customHeight="1" s="225">
      <c r="A754" s="264">
        <f>B754&amp;"-"&amp;C754</f>
        <v/>
      </c>
      <c r="B754" s="442" t="inlineStr">
        <is>
          <t>XVI - Activos virtuales (PSAV): cobro de contraprestación (comisión) por el servicio</t>
        </is>
      </c>
      <c r="C754" s="443" t="n">
        <v>24</v>
      </c>
      <c r="D754" s="264" t="inlineStr">
        <is>
          <t>Acreditación del destino de los recursos o del bien</t>
        </is>
      </c>
      <c r="E754" s="264" t="inlineStr">
        <is>
          <t>El destino no se manifiesta, o los recursos o el servicio prestado pasan a un tercero no relacionado con el usuario.</t>
        </is>
      </c>
      <c r="F754" s="264" t="inlineStr">
        <is>
          <t>El destino se declara y es verificable.</t>
        </is>
      </c>
      <c r="G754" s="264" t="inlineStr">
        <is>
          <t>El destino es el servicio prestado mismo, y queda registrado en la operación.</t>
        </is>
      </c>
      <c r="H754" s="444" t="inlineStr">
        <is>
          <t>bandera</t>
        </is>
      </c>
    </row>
    <row r="755" ht="18.75" customHeight="1" s="225">
      <c r="A755" s="264">
        <f>B755&amp;"-"&amp;C755</f>
        <v/>
      </c>
      <c r="B755" s="442" t="inlineStr">
        <is>
          <t>XVI - Activos virtuales (PSAV): cobro de contraprestación (comisión) por el servicio</t>
        </is>
      </c>
      <c r="C755" s="443" t="n">
        <v>25</v>
      </c>
      <c r="D755" s="264" t="inlineStr">
        <is>
          <t>Combinación de canal e instrumento idónea para el financiamiento al terrorismo</t>
        </is>
      </c>
      <c r="E755" s="264" t="inlineStr">
        <is>
          <t>El cobro de la contraprestación combina contratación a distancia sin verificación reforzada con pagos en efectivo o instrumentos al portador.</t>
        </is>
      </c>
      <c r="F755" s="264" t="inlineStr">
        <is>
          <t>Concurre uno solo de los dos: o la contratación remota sin verificación reforzada, o el pago en instrumento no bancarizado.</t>
        </is>
      </c>
      <c r="G755" s="264" t="inlineStr">
        <is>
          <t>Ni la forma de contratar ni la de pagar permiten mover valor de forma anónima.</t>
        </is>
      </c>
      <c r="H755" s="444" t="inlineStr">
        <is>
          <t>bandera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2026-07-24T05:45:57Z</dcterms:created>
  <dcterms:modified xmlns:dcterms="http://purl.org/dc/terms/" xmlns:xsi="http://www.w3.org/2001/XMLSchema-instance" xsi:type="dcterms:W3CDTF">2026-10-29T13:41:10Z</dcterms:modified>
  <cp:revision>0</cp:revision>
</cp:coreProperties>
</file>